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tterns" sheetId="2" state="visible" r:id="rId2"/>
    <sheet name="pattern_counts" sheetId="3" state="visible" r:id="rId3"/>
    <sheet name="patterns_evolution" sheetId="4" state="visible" r:id="rId4"/>
    <sheet name="cross_language" sheetId="5" state="visible" r:id="rId5"/>
    <sheet name="timing_raw" sheetId="6" state="visible" r:id="rId6"/>
    <sheet name="llm" sheetId="7" state="visible" r:id="rId7"/>
    <sheet name="verification_part1" sheetId="8" state="visible" r:id="rId8"/>
    <sheet name="verification_part2" sheetId="9" state="visible" r:id="rId9"/>
    <sheet name="verification_part3" sheetId="10" state="visible" r:id="rId10"/>
    <sheet name="test_counts" sheetId="11" state="visible" r:id="rId11"/>
  </sheets>
  <definedNames>
    <definedName name="_xlnm._FilterDatabase" localSheetId="1" hidden="1">'patterns'!$A$1:$G$36</definedName>
    <definedName name="_xlnm._FilterDatabase" localSheetId="2" hidden="1">'pattern_counts'!$A$1:$D$49</definedName>
    <definedName name="_xlnm._FilterDatabase" localSheetId="3" hidden="1">'patterns_evolution'!$A$1:$I$143</definedName>
    <definedName name="_xlnm._FilterDatabase" localSheetId="4" hidden="1">'cross_language'!$A$1:$K$41</definedName>
    <definedName name="_xlnm._FilterDatabase" localSheetId="5" hidden="1">'timing_raw'!$A$1:$D$241</definedName>
    <definedName name="_xlnm._FilterDatabase" localSheetId="6" hidden="1">'llm'!$A$1:$G$20</definedName>
    <definedName name="_xlnm._FilterDatabase" localSheetId="7" hidden="1">'verification_part1'!$A$1:$G$103</definedName>
    <definedName name="_xlnm._FilterDatabase" localSheetId="8" hidden="1">'verification_part2'!$A$1:$G$23</definedName>
    <definedName name="_xlnm._FilterDatabase" localSheetId="9" hidden="1">'verification_part3'!$A$1:$G$17</definedName>
    <definedName name="_xlnm._FilterDatabase" localSheetId="10" hidden="1">'test_counts'!$A$1:$H$11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sz val="10"/>
    </font>
    <font>
      <name val="Arial"/>
      <sz val="10"/>
    </font>
    <font>
      <name val="Arial"/>
      <i val="1"/>
      <color rgb="00595959"/>
      <sz val="9"/>
    </font>
    <font>
      <name val="Arial"/>
      <b val="1"/>
      <sz val="12"/>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9">
    <xf numFmtId="0" fontId="0" fillId="0" borderId="0" pivotButton="0" quotePrefix="0" xfId="0"/>
    <xf numFmtId="0" fontId="4" fillId="0" borderId="0" pivotButton="0" quotePrefix="0" xfId="0"/>
    <xf numFmtId="0" fontId="1" fillId="0" borderId="0" pivotButton="0" quotePrefix="0" xfId="0"/>
    <xf numFmtId="0" fontId="1" fillId="0" borderId="0" applyAlignment="1" pivotButton="0" quotePrefix="0" xfId="0">
      <alignment vertical="top" wrapText="1"/>
    </xf>
    <xf numFmtId="0" fontId="2" fillId="0" borderId="0" pivotButton="0" quotePrefix="0" xfId="0"/>
    <xf numFmtId="0" fontId="3" fillId="0" borderId="0" pivotButton="0" quotePrefix="0" xfId="0"/>
    <xf numFmtId="164" fontId="2"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46" customWidth="1" min="1" max="1"/>
    <col width="24" customWidth="1" min="2" max="2"/>
    <col width="24" customWidth="1" min="3" max="3"/>
    <col width="24" customWidth="1" min="4" max="4"/>
    <col width="24" customWidth="1" min="5" max="5"/>
  </cols>
  <sheetData>
    <row r="1">
      <c r="A1" s="1" t="inlineStr">
        <is>
          <t>B16 dataset summary - every number below is a formula over the other sheets</t>
        </is>
      </c>
    </row>
    <row r="3">
      <c r="A3" s="2" t="inlineStr">
        <is>
          <t>Instances per pattern and version (patterns_evolution)</t>
        </is>
      </c>
    </row>
    <row r="4">
      <c r="A4" s="2" t="inlineStr">
        <is>
          <t>pattern</t>
        </is>
      </c>
      <c r="B4" s="3" t="inlineStr">
        <is>
          <t>Original code</t>
        </is>
      </c>
      <c r="C4" s="3" t="inlineStr">
        <is>
          <t>Code after Change3</t>
        </is>
      </c>
      <c r="D4" s="3" t="inlineStr">
        <is>
          <t>Code after Change1</t>
        </is>
      </c>
      <c r="E4" s="3" t="inlineStr">
        <is>
          <t>Code after Change2</t>
        </is>
      </c>
    </row>
    <row r="5">
      <c r="A5" s="4" t="inlineStr">
        <is>
          <t>Adapter</t>
        </is>
      </c>
      <c r="B5" s="4">
        <f>COUNTIFS(patterns_evolution!$A:$A,B$4,patterns_evolution!$B:$B,$A5)</f>
        <v/>
      </c>
      <c r="C5" s="4">
        <f>COUNTIFS(patterns_evolution!$A:$A,C$4,patterns_evolution!$B:$B,$A5)</f>
        <v/>
      </c>
      <c r="D5" s="4">
        <f>COUNTIFS(patterns_evolution!$A:$A,D$4,patterns_evolution!$B:$B,$A5)</f>
        <v/>
      </c>
      <c r="E5" s="4">
        <f>COUNTIFS(patterns_evolution!$A:$A,E$4,patterns_evolution!$B:$B,$A5)</f>
        <v/>
      </c>
    </row>
    <row r="6">
      <c r="A6" s="4" t="inlineStr">
        <is>
          <t>Chain of Responsibility</t>
        </is>
      </c>
      <c r="B6" s="4">
        <f>COUNTIFS(patterns_evolution!$A:$A,B$4,patterns_evolution!$B:$B,$A6)</f>
        <v/>
      </c>
      <c r="C6" s="4">
        <f>COUNTIFS(patterns_evolution!$A:$A,C$4,patterns_evolution!$B:$B,$A6)</f>
        <v/>
      </c>
      <c r="D6" s="4">
        <f>COUNTIFS(patterns_evolution!$A:$A,D$4,patterns_evolution!$B:$B,$A6)</f>
        <v/>
      </c>
      <c r="E6" s="4">
        <f>COUNTIFS(patterns_evolution!$A:$A,E$4,patterns_evolution!$B:$B,$A6)</f>
        <v/>
      </c>
    </row>
    <row r="7">
      <c r="A7" s="4" t="inlineStr">
        <is>
          <t>Command</t>
        </is>
      </c>
      <c r="B7" s="4">
        <f>COUNTIFS(patterns_evolution!$A:$A,B$4,patterns_evolution!$B:$B,$A7)</f>
        <v/>
      </c>
      <c r="C7" s="4">
        <f>COUNTIFS(patterns_evolution!$A:$A,C$4,patterns_evolution!$B:$B,$A7)</f>
        <v/>
      </c>
      <c r="D7" s="4">
        <f>COUNTIFS(patterns_evolution!$A:$A,D$4,patterns_evolution!$B:$B,$A7)</f>
        <v/>
      </c>
      <c r="E7" s="4">
        <f>COUNTIFS(patterns_evolution!$A:$A,E$4,patterns_evolution!$B:$B,$A7)</f>
        <v/>
      </c>
    </row>
    <row r="8">
      <c r="A8" s="4" t="inlineStr">
        <is>
          <t>Composite</t>
        </is>
      </c>
      <c r="B8" s="4">
        <f>COUNTIFS(patterns_evolution!$A:$A,B$4,patterns_evolution!$B:$B,$A8)</f>
        <v/>
      </c>
      <c r="C8" s="4">
        <f>COUNTIFS(patterns_evolution!$A:$A,C$4,patterns_evolution!$B:$B,$A8)</f>
        <v/>
      </c>
      <c r="D8" s="4">
        <f>COUNTIFS(patterns_evolution!$A:$A,D$4,patterns_evolution!$B:$B,$A8)</f>
        <v/>
      </c>
      <c r="E8" s="4">
        <f>COUNTIFS(patterns_evolution!$A:$A,E$4,patterns_evolution!$B:$B,$A8)</f>
        <v/>
      </c>
    </row>
    <row r="9">
      <c r="A9" s="4" t="inlineStr">
        <is>
          <t>Decorator</t>
        </is>
      </c>
      <c r="B9" s="4">
        <f>COUNTIFS(patterns_evolution!$A:$A,B$4,patterns_evolution!$B:$B,$A9)</f>
        <v/>
      </c>
      <c r="C9" s="4">
        <f>COUNTIFS(patterns_evolution!$A:$A,C$4,patterns_evolution!$B:$B,$A9)</f>
        <v/>
      </c>
      <c r="D9" s="4">
        <f>COUNTIFS(patterns_evolution!$A:$A,D$4,patterns_evolution!$B:$B,$A9)</f>
        <v/>
      </c>
      <c r="E9" s="4">
        <f>COUNTIFS(patterns_evolution!$A:$A,E$4,patterns_evolution!$B:$B,$A9)</f>
        <v/>
      </c>
    </row>
    <row r="10">
      <c r="A10" s="4" t="inlineStr">
        <is>
          <t>Factory Method</t>
        </is>
      </c>
      <c r="B10" s="4">
        <f>COUNTIFS(patterns_evolution!$A:$A,B$4,patterns_evolution!$B:$B,$A10)</f>
        <v/>
      </c>
      <c r="C10" s="4">
        <f>COUNTIFS(patterns_evolution!$A:$A,C$4,patterns_evolution!$B:$B,$A10)</f>
        <v/>
      </c>
      <c r="D10" s="4">
        <f>COUNTIFS(patterns_evolution!$A:$A,D$4,patterns_evolution!$B:$B,$A10)</f>
        <v/>
      </c>
      <c r="E10" s="4">
        <f>COUNTIFS(patterns_evolution!$A:$A,E$4,patterns_evolution!$B:$B,$A10)</f>
        <v/>
      </c>
    </row>
    <row r="11">
      <c r="A11" s="4" t="inlineStr">
        <is>
          <t>Null Object</t>
        </is>
      </c>
      <c r="B11" s="4">
        <f>COUNTIFS(patterns_evolution!$A:$A,B$4,patterns_evolution!$B:$B,$A11)</f>
        <v/>
      </c>
      <c r="C11" s="4">
        <f>COUNTIFS(patterns_evolution!$A:$A,C$4,patterns_evolution!$B:$B,$A11)</f>
        <v/>
      </c>
      <c r="D11" s="4">
        <f>COUNTIFS(patterns_evolution!$A:$A,D$4,patterns_evolution!$B:$B,$A11)</f>
        <v/>
      </c>
      <c r="E11" s="4">
        <f>COUNTIFS(patterns_evolution!$A:$A,E$4,patterns_evolution!$B:$B,$A11)</f>
        <v/>
      </c>
    </row>
    <row r="12">
      <c r="A12" s="4" t="inlineStr">
        <is>
          <t>Observer</t>
        </is>
      </c>
      <c r="B12" s="4">
        <f>COUNTIFS(patterns_evolution!$A:$A,B$4,patterns_evolution!$B:$B,$A12)</f>
        <v/>
      </c>
      <c r="C12" s="4">
        <f>COUNTIFS(patterns_evolution!$A:$A,C$4,patterns_evolution!$B:$B,$A12)</f>
        <v/>
      </c>
      <c r="D12" s="4">
        <f>COUNTIFS(patterns_evolution!$A:$A,D$4,patterns_evolution!$B:$B,$A12)</f>
        <v/>
      </c>
      <c r="E12" s="4">
        <f>COUNTIFS(patterns_evolution!$A:$A,E$4,patterns_evolution!$B:$B,$A12)</f>
        <v/>
      </c>
    </row>
    <row r="13">
      <c r="A13" s="4" t="inlineStr">
        <is>
          <t>Strategy</t>
        </is>
      </c>
      <c r="B13" s="4">
        <f>COUNTIFS(patterns_evolution!$A:$A,B$4,patterns_evolution!$B:$B,$A13)</f>
        <v/>
      </c>
      <c r="C13" s="4">
        <f>COUNTIFS(patterns_evolution!$A:$A,C$4,patterns_evolution!$B:$B,$A13)</f>
        <v/>
      </c>
      <c r="D13" s="4">
        <f>COUNTIFS(patterns_evolution!$A:$A,D$4,patterns_evolution!$B:$B,$A13)</f>
        <v/>
      </c>
      <c r="E13" s="4">
        <f>COUNTIFS(patterns_evolution!$A:$A,E$4,patterns_evolution!$B:$B,$A13)</f>
        <v/>
      </c>
    </row>
    <row r="14">
      <c r="A14" s="4" t="inlineStr">
        <is>
          <t>Template Method</t>
        </is>
      </c>
      <c r="B14" s="4">
        <f>COUNTIFS(patterns_evolution!$A:$A,B$4,patterns_evolution!$B:$B,$A14)</f>
        <v/>
      </c>
      <c r="C14" s="4">
        <f>COUNTIFS(patterns_evolution!$A:$A,C$4,patterns_evolution!$B:$B,$A14)</f>
        <v/>
      </c>
      <c r="D14" s="4">
        <f>COUNTIFS(patterns_evolution!$A:$A,D$4,patterns_evolution!$B:$B,$A14)</f>
        <v/>
      </c>
      <c r="E14" s="4">
        <f>COUNTIFS(patterns_evolution!$A:$A,E$4,patterns_evolution!$B:$B,$A14)</f>
        <v/>
      </c>
    </row>
    <row r="15">
      <c r="A15" s="2" t="inlineStr">
        <is>
          <t>total instances</t>
        </is>
      </c>
      <c r="B15" s="2">
        <f>SUM(B5:B14)</f>
        <v/>
      </c>
      <c r="C15" s="2">
        <f>SUM(C5:C14)</f>
        <v/>
      </c>
      <c r="D15" s="2">
        <f>SUM(D5:D14)</f>
        <v/>
      </c>
      <c r="E15" s="2">
        <f>SUM(E5:E14)</f>
        <v/>
      </c>
    </row>
    <row r="16">
      <c r="A16" s="2" t="inlineStr">
        <is>
          <t>pattern types</t>
        </is>
      </c>
      <c r="B16" s="2">
        <f>COUNTIF(B5:B14,"&gt;0")</f>
        <v/>
      </c>
      <c r="C16" s="2">
        <f>COUNTIF(C5:C14,"&gt;0")</f>
        <v/>
      </c>
      <c r="D16" s="2">
        <f>COUNTIF(D5:D14,"&gt;0")</f>
        <v/>
      </c>
      <c r="E16" s="2">
        <f>COUNTIF(E5:E14,"&gt;0")</f>
        <v/>
      </c>
    </row>
    <row r="17">
      <c r="A17" s="5" t="inlineStr">
        <is>
          <t>check: total in pattern_counts</t>
        </is>
      </c>
      <c r="B17" s="5">
        <f>SUMIFS(pattern_counts!$D:$D,pattern_counts!$A:$A,B$4,pattern_counts!$B:$B,"total_pattern_instances")</f>
        <v/>
      </c>
      <c r="C17" s="5">
        <f>SUMIFS(pattern_counts!$D:$D,pattern_counts!$A:$A,C$4,pattern_counts!$B:$B,"total_pattern_instances")</f>
        <v/>
      </c>
      <c r="D17" s="5">
        <f>SUMIFS(pattern_counts!$D:$D,pattern_counts!$A:$A,D$4,pattern_counts!$B:$B,"total_pattern_instances")</f>
        <v/>
      </c>
      <c r="E17" s="5">
        <f>SUMIFS(pattern_counts!$D:$D,pattern_counts!$A:$A,E$4,pattern_counts!$B:$B,"total_pattern_instances")</f>
        <v/>
      </c>
    </row>
    <row r="19">
      <c r="A19" s="2" t="inlineStr">
        <is>
          <t>Status after change, per version</t>
        </is>
      </c>
    </row>
    <row r="20">
      <c r="A20" s="2" t="inlineStr">
        <is>
          <t>status</t>
        </is>
      </c>
      <c r="B20" s="2">
        <f>B4</f>
        <v/>
      </c>
      <c r="C20" s="2">
        <f>C4</f>
        <v/>
      </c>
      <c r="D20" s="2">
        <f>D4</f>
        <v/>
      </c>
      <c r="E20" s="2">
        <f>E4</f>
        <v/>
      </c>
    </row>
    <row r="21">
      <c r="A21" s="4" t="inlineStr">
        <is>
          <t>baseline</t>
        </is>
      </c>
      <c r="B21" s="4">
        <f>COUNTIFS(patterns_evolution!$A:$A,B$20,patterns_evolution!$H:$H,$A21)</f>
        <v/>
      </c>
      <c r="C21" s="4">
        <f>COUNTIFS(patterns_evolution!$A:$A,C$20,patterns_evolution!$H:$H,$A21)</f>
        <v/>
      </c>
      <c r="D21" s="4">
        <f>COUNTIFS(patterns_evolution!$A:$A,D$20,patterns_evolution!$H:$H,$A21)</f>
        <v/>
      </c>
      <c r="E21" s="4">
        <f>COUNTIFS(patterns_evolution!$A:$A,E$20,patterns_evolution!$H:$H,$A21)</f>
        <v/>
      </c>
    </row>
    <row r="22">
      <c r="A22" s="4" t="inlineStr">
        <is>
          <t>preserved</t>
        </is>
      </c>
      <c r="B22" s="4">
        <f>COUNTIFS(patterns_evolution!$A:$A,B$20,patterns_evolution!$H:$H,$A22)</f>
        <v/>
      </c>
      <c r="C22" s="4">
        <f>COUNTIFS(patterns_evolution!$A:$A,C$20,patterns_evolution!$H:$H,$A22)</f>
        <v/>
      </c>
      <c r="D22" s="4">
        <f>COUNTIFS(patterns_evolution!$A:$A,D$20,patterns_evolution!$H:$H,$A22)</f>
        <v/>
      </c>
      <c r="E22" s="4">
        <f>COUNTIFS(patterns_evolution!$A:$A,E$20,patterns_evolution!$H:$H,$A22)</f>
        <v/>
      </c>
    </row>
    <row r="23">
      <c r="A23" s="4" t="inlineStr">
        <is>
          <t>modified</t>
        </is>
      </c>
      <c r="B23" s="4">
        <f>COUNTIFS(patterns_evolution!$A:$A,B$20,patterns_evolution!$H:$H,$A23)</f>
        <v/>
      </c>
      <c r="C23" s="4">
        <f>COUNTIFS(patterns_evolution!$A:$A,C$20,patterns_evolution!$H:$H,$A23)</f>
        <v/>
      </c>
      <c r="D23" s="4">
        <f>COUNTIFS(patterns_evolution!$A:$A,D$20,patterns_evolution!$H:$H,$A23)</f>
        <v/>
      </c>
      <c r="E23" s="4">
        <f>COUNTIFS(patterns_evolution!$A:$A,E$20,patterns_evolution!$H:$H,$A23)</f>
        <v/>
      </c>
    </row>
    <row r="24">
      <c r="A24" s="4" t="inlineStr">
        <is>
          <t>extended</t>
        </is>
      </c>
      <c r="B24" s="4">
        <f>COUNTIFS(patterns_evolution!$A:$A,B$20,patterns_evolution!$H:$H,$A24)</f>
        <v/>
      </c>
      <c r="C24" s="4">
        <f>COUNTIFS(patterns_evolution!$A:$A,C$20,patterns_evolution!$H:$H,$A24)</f>
        <v/>
      </c>
      <c r="D24" s="4">
        <f>COUNTIFS(patterns_evolution!$A:$A,D$20,patterns_evolution!$H:$H,$A24)</f>
        <v/>
      </c>
      <c r="E24" s="4">
        <f>COUNTIFS(patterns_evolution!$A:$A,E$20,patterns_evolution!$H:$H,$A24)</f>
        <v/>
      </c>
    </row>
    <row r="25">
      <c r="A25" s="4" t="inlineStr">
        <is>
          <t>replaced</t>
        </is>
      </c>
      <c r="B25" s="4">
        <f>COUNTIFS(patterns_evolution!$A:$A,B$20,patterns_evolution!$H:$H,$A25)</f>
        <v/>
      </c>
      <c r="C25" s="4">
        <f>COUNTIFS(patterns_evolution!$A:$A,C$20,patterns_evolution!$H:$H,$A25)</f>
        <v/>
      </c>
      <c r="D25" s="4">
        <f>COUNTIFS(patterns_evolution!$A:$A,D$20,patterns_evolution!$H:$H,$A25)</f>
        <v/>
      </c>
      <c r="E25" s="4">
        <f>COUNTIFS(patterns_evolution!$A:$A,E$20,patterns_evolution!$H:$H,$A25)</f>
        <v/>
      </c>
    </row>
    <row r="26">
      <c r="A26" s="4" t="inlineStr">
        <is>
          <t>removed</t>
        </is>
      </c>
      <c r="B26" s="4">
        <f>COUNTIFS(patterns_evolution!$A:$A,B$20,patterns_evolution!$H:$H,$A26)</f>
        <v/>
      </c>
      <c r="C26" s="4">
        <f>COUNTIFS(patterns_evolution!$A:$A,C$20,patterns_evolution!$H:$H,$A26)</f>
        <v/>
      </c>
      <c r="D26" s="4">
        <f>COUNTIFS(patterns_evolution!$A:$A,D$20,patterns_evolution!$H:$H,$A26)</f>
        <v/>
      </c>
      <c r="E26" s="4">
        <f>COUNTIFS(patterns_evolution!$A:$A,E$20,patterns_evolution!$H:$H,$A26)</f>
        <v/>
      </c>
    </row>
    <row r="27">
      <c r="A27" s="4" t="inlineStr">
        <is>
          <t>newly_introduced</t>
        </is>
      </c>
      <c r="B27" s="4">
        <f>COUNTIFS(patterns_evolution!$A:$A,B$20,patterns_evolution!$H:$H,$A27)</f>
        <v/>
      </c>
      <c r="C27" s="4">
        <f>COUNTIFS(patterns_evolution!$A:$A,C$20,patterns_evolution!$H:$H,$A27)</f>
        <v/>
      </c>
      <c r="D27" s="4">
        <f>COUNTIFS(patterns_evolution!$A:$A,D$20,patterns_evolution!$H:$H,$A27)</f>
        <v/>
      </c>
      <c r="E27" s="4">
        <f>COUNTIFS(patterns_evolution!$A:$A,E$20,patterns_evolution!$H:$H,$A27)</f>
        <v/>
      </c>
    </row>
    <row r="29">
      <c r="A29" s="2" t="inlineStr">
        <is>
          <t>Cross-language (cross_language): average over the two patterns</t>
        </is>
      </c>
    </row>
    <row r="30">
      <c r="A30" s="2" t="inlineStr">
        <is>
          <t>language</t>
        </is>
      </c>
      <c r="B30" s="2" t="inlineStr">
        <is>
          <t>avg source_loc</t>
        </is>
      </c>
      <c r="C30" s="2" t="inlineStr">
        <is>
          <t>max function CC</t>
        </is>
      </c>
      <c r="D30" s="2" t="inlineStr">
        <is>
          <t>avg median ms</t>
        </is>
      </c>
      <c r="E30" s="2" t="inlineStr">
        <is>
          <t>programs</t>
        </is>
      </c>
    </row>
    <row r="31">
      <c r="A31" s="4" t="inlineStr">
        <is>
          <t>Java</t>
        </is>
      </c>
      <c r="B31" s="6">
        <f>AVERAGEIF(cross_language!$C:$C,$A31,cross_language!$E:$E)</f>
        <v/>
      </c>
      <c r="C31" s="4">
        <f>SUMPRODUCT(MAX((cross_language!$C$2:$C$9=$A31)*cross_language!$F$2:$F$9))</f>
        <v/>
      </c>
      <c r="D31" s="6">
        <f>AVERAGEIF(cross_language!$C:$C,$A31,cross_language!$J:$J)</f>
        <v/>
      </c>
      <c r="E31" s="4">
        <f>COUNTIF(cross_language!$C:$C,$A31)</f>
        <v/>
      </c>
    </row>
    <row r="32">
      <c r="A32" s="4" t="inlineStr">
        <is>
          <t>Python</t>
        </is>
      </c>
      <c r="B32" s="6">
        <f>AVERAGEIF(cross_language!$C:$C,$A32,cross_language!$E:$E)</f>
        <v/>
      </c>
      <c r="C32" s="4">
        <f>SUMPRODUCT(MAX((cross_language!$C$2:$C$9=$A32)*cross_language!$F$2:$F$9))</f>
        <v/>
      </c>
      <c r="D32" s="6">
        <f>AVERAGEIF(cross_language!$C:$C,$A32,cross_language!$J:$J)</f>
        <v/>
      </c>
      <c r="E32" s="4">
        <f>COUNTIF(cross_language!$C:$C,$A32)</f>
        <v/>
      </c>
    </row>
    <row r="33">
      <c r="A33" s="4" t="inlineStr">
        <is>
          <t>JavaScript</t>
        </is>
      </c>
      <c r="B33" s="6">
        <f>AVERAGEIF(cross_language!$C:$C,$A33,cross_language!$E:$E)</f>
        <v/>
      </c>
      <c r="C33" s="4">
        <f>SUMPRODUCT(MAX((cross_language!$C$2:$C$9=$A33)*cross_language!$F$2:$F$9))</f>
        <v/>
      </c>
      <c r="D33" s="6">
        <f>AVERAGEIF(cross_language!$C:$C,$A33,cross_language!$J:$J)</f>
        <v/>
      </c>
      <c r="E33" s="4">
        <f>COUNTIF(cross_language!$C:$C,$A33)</f>
        <v/>
      </c>
    </row>
    <row r="34">
      <c r="A34" s="4" t="inlineStr">
        <is>
          <t>C++</t>
        </is>
      </c>
      <c r="B34" s="6">
        <f>AVERAGEIF(cross_language!$C:$C,$A34,cross_language!$E:$E)</f>
        <v/>
      </c>
      <c r="C34" s="4">
        <f>SUMPRODUCT(MAX((cross_language!$C$2:$C$9=$A34)*cross_language!$F$2:$F$9))</f>
        <v/>
      </c>
      <c r="D34" s="6">
        <f>AVERAGEIF(cross_language!$C:$C,$A34,cross_language!$J:$J)</f>
        <v/>
      </c>
      <c r="E34" s="4">
        <f>COUNTIF(cross_language!$C:$C,$A34)</f>
        <v/>
      </c>
    </row>
    <row r="36">
      <c r="A36" s="2" t="inlineStr">
        <is>
          <t>LLM claim verification</t>
        </is>
      </c>
    </row>
    <row r="37">
      <c r="A37" s="2" t="inlineStr">
        <is>
          <t>verdict</t>
        </is>
      </c>
      <c r="B37" s="2" t="inlineStr">
        <is>
          <t>Part 1</t>
        </is>
      </c>
      <c r="C37" s="2" t="inlineStr">
        <is>
          <t>Part 2</t>
        </is>
      </c>
      <c r="D37" s="2" t="inlineStr">
        <is>
          <t>Part 3</t>
        </is>
      </c>
    </row>
    <row r="38">
      <c r="A38" s="4" t="inlineStr">
        <is>
          <t>correct</t>
        </is>
      </c>
      <c r="B38" s="4">
        <f>COUNTIF(verification_part1!$E:$E,$A38)</f>
        <v/>
      </c>
      <c r="C38" s="4">
        <f>COUNTIF(verification_part2!$E:$E,$A38)</f>
        <v/>
      </c>
      <c r="D38" s="4">
        <f>COUNTIF(verification_part3!$E:$E,$A38)</f>
        <v/>
      </c>
    </row>
    <row r="39">
      <c r="A39" s="4" t="inlineStr">
        <is>
          <t>partially correct</t>
        </is>
      </c>
      <c r="B39" s="4">
        <f>COUNTIF(verification_part1!$E:$E,$A39)</f>
        <v/>
      </c>
      <c r="C39" s="4">
        <f>COUNTIF(verification_part2!$E:$E,$A39)</f>
        <v/>
      </c>
      <c r="D39" s="4">
        <f>COUNTIF(verification_part3!$E:$E,$A39)</f>
        <v/>
      </c>
    </row>
    <row r="40">
      <c r="A40" s="4" t="inlineStr">
        <is>
          <t>incorrect*</t>
        </is>
      </c>
      <c r="B40" s="4">
        <f>COUNTIF(verification_part1!$E:$E,$A40)</f>
        <v/>
      </c>
      <c r="C40" s="4">
        <f>COUNTIF(verification_part2!$E:$E,$A40)</f>
        <v/>
      </c>
      <c r="D40" s="4">
        <f>COUNTIF(verification_part3!$E:$E,$A40)</f>
        <v/>
      </c>
    </row>
    <row r="41">
      <c r="A41" s="4" t="inlineStr">
        <is>
          <t>cannot confirm</t>
        </is>
      </c>
      <c r="B41" s="4">
        <f>COUNTIF(verification_part1!$E:$E,$A41)</f>
        <v/>
      </c>
      <c r="C41" s="4">
        <f>COUNTIF(verification_part2!$E:$E,$A41)</f>
        <v/>
      </c>
      <c r="D41" s="4">
        <f>COUNTIF(verification_part3!$E:$E,$A41)</f>
        <v/>
      </c>
    </row>
    <row r="42">
      <c r="A42" s="2" t="inlineStr">
        <is>
          <t>rows checked</t>
        </is>
      </c>
      <c r="B42" s="2">
        <f>COUNTA(verification_part1!$A:$A)-2</f>
        <v/>
      </c>
      <c r="C42" s="2">
        <f>COUNTA(verification_part2!$A:$A)-2</f>
        <v/>
      </c>
      <c r="D42" s="2">
        <f>COUNTA(verification_part3!$A:$A)-2</f>
        <v/>
      </c>
    </row>
    <row r="43">
      <c r="A43" s="5" t="inlineStr">
        <is>
          <t>rows checked = non-empty column A minus the header and the source note; 'incorrect*' also counts 'incorrect (proposed)'</t>
        </is>
      </c>
    </row>
    <row r="45">
      <c r="A45" s="2" t="inlineStr">
        <is>
          <t>JUnit tests (test_counts)</t>
        </is>
      </c>
    </row>
    <row r="46">
      <c r="A46" s="2" t="inlineStr">
        <is>
          <t>measure</t>
        </is>
      </c>
      <c r="B46" s="2" t="inlineStr">
        <is>
          <t>value</t>
        </is>
      </c>
    </row>
    <row r="47">
      <c r="A47" s="4" t="inlineStr">
        <is>
          <t>launcher tests at baseline</t>
        </is>
      </c>
      <c r="B47" s="4">
        <f>SUMPRODUCT((test_counts!$B$2:$B$40="baseline")*test_counts!$E$2:$E$40)</f>
        <v/>
      </c>
    </row>
    <row r="48">
      <c r="A48" s="4" t="inlineStr">
        <is>
          <t>launcher tests after all changes</t>
        </is>
      </c>
      <c r="B48" s="4">
        <f>SUMPRODUCT(MAX((test_counts!$C$2:$C$40="launcher tests")*test_counts!$E$2:$E$40))</f>
        <v/>
      </c>
    </row>
    <row r="49">
      <c r="A49" s="4" t="inlineStr">
        <is>
          <t>all platform-tests after all changes</t>
        </is>
      </c>
      <c r="B49" s="4">
        <f>SUMPRODUCT(MAX((test_counts!$C$2:$C$40="all platform-tests")*test_counts!$E$2:$E$40))</f>
        <v/>
      </c>
    </row>
    <row r="50">
      <c r="A50" s="4" t="inlineStr">
        <is>
          <t>all jupiter-tests after CH02</t>
        </is>
      </c>
      <c r="B50" s="4">
        <f>SUMPRODUCT(MAX((test_counts!$C$2:$C$40="all jupiter-tests")*test_counts!$E$2:$E$40))</f>
        <v/>
      </c>
    </row>
    <row r="51">
      <c r="A51" s="4" t="inlineStr">
        <is>
          <t>failures + errors in all recorded runs</t>
        </is>
      </c>
      <c r="B51" s="4">
        <f>SUM(test_counts!$G:$G)+SUM(test_counts!$H:$H)</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16" customWidth="1" min="1" max="1"/>
    <col width="25" customWidth="1" min="2" max="2"/>
    <col width="14" customWidth="1" min="3" max="3"/>
    <col width="43" customWidth="1" min="4" max="4"/>
    <col width="60" customWidth="1" min="5" max="5"/>
    <col width="60" customWidth="1" min="6" max="6"/>
    <col width="60" customWidth="1" min="7" max="7"/>
  </cols>
  <sheetData>
    <row r="1">
      <c r="A1" s="7" t="inlineStr">
        <is>
          <t>source_version</t>
        </is>
      </c>
      <c r="B1" s="7" t="inlineStr">
        <is>
          <t>pattern_name</t>
        </is>
      </c>
      <c r="C1" s="7" t="inlineStr">
        <is>
          <t>pattern_type</t>
        </is>
      </c>
      <c r="D1" s="7" t="inlineStr">
        <is>
          <t>instance_name</t>
        </is>
      </c>
      <c r="E1" s="7" t="inlineStr">
        <is>
          <t>participant_roles</t>
        </is>
      </c>
      <c r="F1" s="7" t="inlineStr">
        <is>
          <t>source_locations</t>
        </is>
      </c>
      <c r="G1" s="7" t="inlineStr">
        <is>
          <t>intent_and_evidence</t>
        </is>
      </c>
    </row>
    <row r="2">
      <c r="A2" s="8" t="inlineStr">
        <is>
          <t>Original code</t>
        </is>
      </c>
      <c r="B2" s="8" t="inlineStr">
        <is>
          <t>Composite</t>
        </is>
      </c>
      <c r="C2" s="8" t="inlineStr">
        <is>
          <t>Structural</t>
        </is>
      </c>
      <c r="D2" s="8" t="inlineStr">
        <is>
          <t>A1 Test Descriptor Tree</t>
        </is>
      </c>
      <c r="E2" s="8" t="inlineStr">
        <is>
          <t>Component=org.junit.platform.engine.TestDescriptor; Composite (base)=org.junit.platform.engine.support.descriptor.AbstractTestDescriptor; Composite=org.junit.platform.engine.support.descriptor.EngineDescriptor; Composite=org.junit.jupiter.engine.descriptor.JupiterEngineDescriptor; Composite=org.junit.jupiter.engine.descriptor.ClassTestDescriptor; Composite=org.junit.jupiter.engine.descriptor.NestedClassTestDescriptor; Composite=org.junit.jupiter.engine.descriptor.ClassTemplateTestDescriptor; Composite=org.junit.jupiter.engine.descriptor.ClassTemplateInvocationTestDescriptor; Composite=org.junit.jupiter.engine.descriptor.TestTemplateTestDescriptor; Composite=org.junit.jupiter.engine.descriptor.TestFactoryTestDescriptor; Composite=org.junit.jupiter.engine.descriptor.DynamicContainerTestDescriptor; Leaf=org.junit.jupiter.engine.descriptor.TestMethodTestDescriptor; Leaf=org.junit.jupiter.engine.descriptor.TestTemplateInvocationTestDescriptor; Leaf=org.junit.jupiter.engine.descriptor.DynamicTestTestDescriptor; Client=org.junit.platform.launcher.core.EngineDiscoveryOrchestrator#applyPostDiscoveryFilters; Client=org.junit.platform.engine.support.hierarchical.NodeTestTask#executeRecursively</t>
        </is>
      </c>
      <c r="F2" s="8" t="inlineStr">
        <is>
          <t>data/code/junit-platform-engine/src/main/java/org/junit/platform/engine/TestDescriptor.java:37-427; data/code/junit-platform-engine/src/main/java/org/junit/platform/engine/support/descriptor/AbstractTestDescriptor.java:42-248; data/code/junit-platform-engine/src/main/java/org/junit/platform/engine/support/descriptor/EngineDescriptor.java:25-53; data/code/junit-jupiter-engine/src/main/java/org/junit/jupiter/engine/descriptor/JupiterEngineDescriptor.java:30-70; data/code/junit-jupiter-engine/src/main/java/org/junit/jupiter/engine/descriptor/ClassTestDescriptor.java:47-106; data/code/junit-jupiter-engine/src/main/java/org/junit/jupiter/engine/descriptor/NestedClassTestDescriptor.java:49-121; data/code/junit-jupiter-engine/src/main/java/org/junit/jupiter/engine/descriptor/ClassTemplateTestDescriptor.java:51-277; data/code/junit-jupiter-engine/src/main/java/org/junit/jupiter/engine/descriptor/ClassTemplateInvocationTestDescriptor.java:48-202; data/code/junit-jupiter-engine/src/main/java/org/junit/jupiter/engine/descriptor/TestTemplateTestDescriptor.java:41-167; data/code/junit-jupiter-engine/src/main/java/org/junit/jupiter/engine/descriptor/TestFactoryTestDescriptor.java:56-223; data/code/junit-jupiter-engine/src/main/java/org/junit/jupiter/engine/descriptor/DynamicContainerTestDescriptor.java:34-88; data/code/junit-jupiter-engine/src/main/java/org/junit/jupiter/engine/descriptor/TestMethodTestDescriptor.java:71-293; data/code/junit-jupiter-engine/src/main/java/org/junit/jupiter/engine/descriptor/TestTemplateInvocationTestDescriptor.java:42-104; data/code/junit-jupiter-engine/src/main/java/org/junit/jupiter/engine/descriptor/DynamicTestTestDescriptor.java:37-100; data/code/junit-platform-launcher/src/main/java/org/junit/platform/launcher/core/EngineDiscoveryOrchestrator.java:225-238; data/code/junit-platform-engine/src/main/java/org/junit/platform/engine/support/hierarchical/NodeTestTask.java:157-189</t>
        </is>
      </c>
      <c r="G2" s="8" t="inlineStr">
        <is>
          <t>Engines build one tree of TestDescriptor nodes (engine &gt; class &gt; nested class &gt; method &gt; dynamic test); the launcher filters, prunes, visits and executes it without knowing node kinds. Evidence: TestDescriptor.accept visits itself then calls child.accept(visitor); AbstractTestDescriptor holds the children set and findByUniqueId recurses; NodeTestTask creates one child task per child. Transparent variant: leaf vs container is decided by getType().</t>
        </is>
      </c>
    </row>
    <row r="3">
      <c r="A3" s="8" t="inlineStr">
        <is>
          <t>Original code</t>
        </is>
      </c>
      <c r="B3" s="8" t="inlineStr">
        <is>
          <t>Composite</t>
        </is>
      </c>
      <c r="C3" s="8" t="inlineStr">
        <is>
          <t>Structural</t>
        </is>
      </c>
      <c r="D3" s="8" t="inlineStr">
        <is>
          <t>A2 Composed Discovery Filter</t>
        </is>
      </c>
      <c r="E3" s="8" t="inlineStr">
        <is>
          <t>Component=org.junit.platform.engine.Filter; Composite=org.junit.platform.engine.CompositeFilter; Leaf=org.junit.platform.launcher.IncludeMethodFilter; Leaf=org.junit.platform.launcher.ExcludeMethodFilter; Leaf (lambda factory)=org.junit.platform.launcher.TagFilter; Client=org.junit.platform.launcher.core.EngineDiscoveryOrchestrator#applyPostDiscoveryFilters</t>
        </is>
      </c>
      <c r="F3" s="8" t="inlineStr">
        <is>
          <t>data/code/junit-platform-engine/src/main/java/org/junit/platform/engine/Filter.java:41-119; data/code/junit-platform-engine/src/main/java/org/junit/platform/engine/CompositeFilter.java:29-89; data/code/junit-platform-launcher/src/main/java/org/junit/platform/launcher/IncludeMethodFilter.java:31-58; data/code/junit-platform-launcher/src/main/java/org/junit/platform/launcher/ExcludeMethodFilter.java:31-58; data/code/junit-platform-launcher/src/main/java/org/junit/platform/launcher/TagFilter.java:48-184; data/code/junit-platform-launcher/src/main/java/org/junit/platform/launcher/core/EngineDiscoveryOrchestrator.java:225-238</t>
        </is>
      </c>
      <c r="G3" s="8" t="inlineStr">
        <is>
          <t>All post-discovery filters are merged into one Filter by Filter.composeFilters; CompositeFilter implements Filter, holds a list of Filters and combines their FilterResults into one answer (first exclusion wins). Overlaps A3 (same leaf classes seen as strategies).</t>
        </is>
      </c>
    </row>
    <row r="4">
      <c r="A4" s="8" t="inlineStr">
        <is>
          <t>Original code</t>
        </is>
      </c>
      <c r="B4" s="8" t="inlineStr">
        <is>
          <t>Strategy</t>
        </is>
      </c>
      <c r="C4" s="8" t="inlineStr">
        <is>
          <t>Behavioral</t>
        </is>
      </c>
      <c r="D4" s="8" t="inlineStr">
        <is>
          <t>A3 Post-Discovery Filter Policies</t>
        </is>
      </c>
      <c r="E4" s="8" t="inlineStr">
        <is>
          <t>Strategy=org.junit.platform.launcher.PostDiscoveryFilter; ConcreteStrategy=org.junit.platform.launcher.IncludeMethodFilter; ConcreteStrategy=org.junit.platform.launcher.ExcludeMethodFilter; ConcreteStrategy (lambdas)=org.junit.platform.launcher.TagFilter; Context=org.junit.platform.launcher.core.EngineDiscoveryOrchestrator#applyPostDiscoveryFilters</t>
        </is>
      </c>
      <c r="F4" s="8" t="inlineStr">
        <is>
          <t>data/code/junit-platform-launcher/src/main/java/org/junit/platform/launcher/PostDiscoveryFilter.java:35-36; data/code/junit-platform-launcher/src/main/java/org/junit/platform/launcher/IncludeMethodFilter.java:31-58; data/code/junit-platform-launcher/src/main/java/org/junit/platform/launcher/ExcludeMethodFilter.java:31-58; data/code/junit-platform-launcher/src/main/java/org/junit/platform/launcher/TagFilter.java:48-184; data/code/junit-platform-launcher/src/main/java/org/junit/platform/launcher/core/EngineDiscoveryOrchestrator.java:225-238</t>
        </is>
      </c>
      <c r="G4" s="8" t="inlineStr">
        <is>
          <t>Selection rules (tag expressions, method-name patterns, custom filters) are interchangeable algorithms behind PostDiscoveryFilter; EngineDiscoveryOrchestrator only calls apply(). Overlaps A2.</t>
        </is>
      </c>
    </row>
    <row r="5">
      <c r="A5" s="8" t="inlineStr">
        <is>
          <t>Original code</t>
        </is>
      </c>
      <c r="B5" s="8" t="inlineStr">
        <is>
          <t>Template Method</t>
        </is>
      </c>
      <c r="C5" s="8" t="inlineStr">
        <is>
          <t>Behavioral</t>
        </is>
      </c>
      <c r="D5" s="8" t="inlineStr">
        <is>
          <t>A4 Jupiter Descriptor Skeletons</t>
        </is>
      </c>
      <c r="E5" s="8" t="inlineStr">
        <is>
          <t>AbstractClass=org.junit.jupiter.engine.descriptor.JupiterTestDescriptor; TemplateMethod=org.junit.jupiter.engine.descriptor.JupiterTestDescriptor#getExecutionMode; TemplateMethod=org.junit.jupiter.engine.descriptor.JupiterTestDescriptor#getLegacyReportingName; TemplateMethod=org.junit.jupiter.engine.descriptor.JupiterTestDescriptor#copyIncludingDescendants; PrimitiveOperation=org.junit.jupiter.engine.descriptor.JupiterTestDescriptor#withUniqueId; ConcreteClass (hook)=org.junit.jupiter.engine.descriptor.ClassBasedTestDescriptor#getExplicitExecutionMode; ConcreteClass (hook)=org.junit.jupiter.engine.descriptor.MethodBasedTestDescriptor#getExplicitExecutionMode; ConcreteClass (primitive)=org.junit.jupiter.engine.descriptor.ClassTestDescriptor#withUniqueId</t>
        </is>
      </c>
      <c r="F5" s="8" t="inlineStr">
        <is>
          <t>data/code/junit-jupiter-engine/src/main/java/org/junit/jupiter/engine/descriptor/JupiterTestDescriptor.java:64-283; data/code/junit-jupiter-engine/src/main/java/org/junit/jupiter/engine/descriptor/JupiterTestDescriptor.java:163-167; data/code/junit-jupiter-engine/src/main/java/org/junit/jupiter/engine/descriptor/JupiterTestDescriptor.java:85-88; data/code/junit-jupiter-engine/src/main/java/org/junit/jupiter/engine/descriptor/JupiterTestDescriptor.java:256-263; data/code/junit-jupiter-engine/src/main/java/org/junit/jupiter/engine/descriptor/JupiterTestDescriptor.java:268-268; data/code/junit-jupiter-engine/src/main/java/org/junit/jupiter/engine/descriptor/ClassBasedTestDescriptor.java:167-169; data/code/junit-jupiter-engine/src/main/java/org/junit/jupiter/engine/descriptor/MethodBasedTestDescriptor.java:147-149; data/code/junit-jupiter-engine/src/main/java/org/junit/jupiter/engine/descriptor/ClassTestDescriptor.java:63-66</t>
        </is>
      </c>
      <c r="G5" s="8" t="inlineStr">
        <is>
          <t>JupiterTestDescriptor fixes algorithms in final methods (getExecutionMode, getLegacyReportingName) and in copyIncludingDescendants, which calls the abstract primitive withUniqueId; subclasses override the hooks (getExplicitExecutionMode, getLegacyReportingBaseName, withUniqueId).</t>
        </is>
      </c>
    </row>
    <row r="6">
      <c r="A6" s="8" t="inlineStr">
        <is>
          <t>Original code</t>
        </is>
      </c>
      <c r="B6" s="8" t="inlineStr">
        <is>
          <t>Template Method</t>
        </is>
      </c>
      <c r="C6" s="8" t="inlineStr">
        <is>
          <t>Behavioral</t>
        </is>
      </c>
      <c r="D6" s="8" t="inlineStr">
        <is>
          <t>A5 Child Ordering Skeleton</t>
        </is>
      </c>
      <c r="E6" s="8" t="inlineStr">
        <is>
          <t>AbstractClass=org.junit.jupiter.engine.discovery.AbstractOrderingVisitor; TemplateMethod=org.junit.jupiter.engine.discovery.AbstractOrderingVisitor#orderChildrenTestDescriptors; PrimitiveOperation=org.junit.jupiter.engine.discovery.AbstractOrderingVisitor#shouldNonMatchingDescriptorsComeBeforeOrderedOnes; ConcreteClass=org.junit.jupiter.engine.discovery.ClassOrderingVisitor; ConcreteClass=org.junit.jupiter.engine.discovery.MethodOrderingVisitor</t>
        </is>
      </c>
      <c r="F6" s="8" t="inlineStr">
        <is>
          <t>data/code/junit-jupiter-engine/src/main/java/org/junit/jupiter/engine/discovery/AbstractOrderingVisitor.java:39-222; data/code/junit-jupiter-engine/src/main/java/org/junit/jupiter/engine/discovery/AbstractOrderingVisitor.java:72-119; data/code/junit-jupiter-engine/src/main/java/org/junit/jupiter/engine/discovery/AbstractOrderingVisitor.java:126-126; data/code/junit-jupiter-engine/src/main/java/org/junit/jupiter/engine/discovery/ClassOrderingVisitor.java:38-165; data/code/junit-jupiter-engine/src/main/java/org/junit/jupiter/engine/discovery/MethodOrderingVisitor.java:41-174</t>
        </is>
      </c>
      <c r="G6" s="8" t="inlineStr">
        <is>
          <t>AbstractOrderingVisitor.orderChildrenTestDescriptors runs a fixed ordering algorithm (select, wrap, sort, unwrap, merge) and asks the abstract hook shouldNonMatchingDescriptorsComeBeforeOrderedOnes, which ClassOrderingVisitor and MethodOrderingVisitor answer differently.</t>
        </is>
      </c>
    </row>
    <row r="7">
      <c r="A7" s="8" t="inlineStr">
        <is>
          <t>Original code</t>
        </is>
      </c>
      <c r="B7" s="8" t="inlineStr">
        <is>
          <t>Observer</t>
        </is>
      </c>
      <c r="C7" s="8" t="inlineStr">
        <is>
          <t>Behavioral</t>
        </is>
      </c>
      <c r="D7" s="8" t="inlineStr">
        <is>
          <t>A6 Discovery Event Notification</t>
        </is>
      </c>
      <c r="E7" s="8" t="inlineStr">
        <is>
          <t>Observer=org.junit.platform.launcher.LauncherDiscoveryListener; Observer (base)=org.junit.platform.engine.EngineDiscoveryListener; ConcreteObserver=org.junit.platform.launcher.core.DiscoveryIssueCollector; ConcreteObserver=org.junit.platform.launcher.core.DiscoveryIssueReportingDiscoveryListener; Subject (attach)=org.junit.platform.launcher.core.DefaultLauncher#registerLauncherDiscoveryListeners; Subject (notify)=org.junit.platform.launcher.core.EngineDiscoveryOrchestrator#discoverEngineRoot; Subject (notify, in engine)=org.junit.platform.engine.support.discovery.EngineDiscoveryRequestResolution; Multicaster=org.junit.platform.launcher.listeners.discovery.CompositeLauncherDiscoveryListener</t>
        </is>
      </c>
      <c r="F7" s="8" t="inlineStr">
        <is>
          <t>data/code/junit-platform-launcher/src/main/java/org/junit/platform/launcher/LauncherDiscoveryListener.java:42-91; data/code/junit-platform-engine/src/main/java/org/junit/platform/engine/EngineDiscoveryListener.java:31-67; data/code/junit-platform-launcher/src/main/java/org/junit/platform/launcher/core/DiscoveryIssueCollector.java:25-65; data/code/junit-platform-launcher/src/main/java/org/junit/platform/launcher/core/DiscoveryIssueReportingDiscoveryListener.java:49-131; data/code/junit-platform-launcher/src/main/java/org/junit/platform/launcher/core/DefaultLauncher.java:73-77; data/code/junit-platform-launcher/src/main/java/org/junit/platform/launcher/core/EngineDiscoveryOrchestrator.java:189-214; data/code/junit-platform-engine/src/main/java/org/junit/platform/engine/support/discovery/EngineDiscoveryRequestResolution.java:60-263; data/code/junit-platform-launcher/src/main/java/org/junit/platform/launcher/listeners/discovery/CompositeLauncherDiscoveryListener.java:29-67</t>
        </is>
      </c>
      <c r="G7" s="8" t="inlineStr">
        <is>
          <t>Discovery progress (launcher/engine discovery started and finished, selector processed, issues) is pushed to registered LauncherDiscoveryListeners that the orchestrator only knows by interface.</t>
        </is>
      </c>
    </row>
    <row r="8">
      <c r="A8" s="8" t="inlineStr">
        <is>
          <t>Original code</t>
        </is>
      </c>
      <c r="B8" s="8" t="inlineStr">
        <is>
          <t>Adapter</t>
        </is>
      </c>
      <c r="C8" s="8" t="inlineStr">
        <is>
          <t>Structural</t>
        </is>
      </c>
      <c r="D8" s="8" t="inlineStr">
        <is>
          <t>A7 Orderer Descriptor Wrappers</t>
        </is>
      </c>
      <c r="E8" s="8" t="inlineStr">
        <is>
          <t>Target=org.junit.jupiter.api.ClassDescriptor; Target=org.junit.jupiter.api.MethodDescriptor; Adapter (base)=org.junit.jupiter.engine.discovery.AbstractAnnotatedDescriptorWrapper; Adapter=org.junit.jupiter.engine.discovery.DefaultClassDescriptor; Adapter=org.junit.jupiter.engine.discovery.DefaultMethodDescriptor; Adaptee=org.junit.jupiter.engine.descriptor.ClassBasedTestDescriptor; Adaptee=org.junit.jupiter.engine.descriptor.MethodBasedTestDescriptor; Client=org.junit.jupiter.engine.discovery.ClassOrderingVisitor</t>
        </is>
      </c>
      <c r="F8" s="8" t="inlineStr">
        <is>
          <t>data/code/junit-jupiter-api/src/main/java/org/junit/jupiter/api/ClassDescriptor.java:28-87; data/code/junit-jupiter-api/src/main/java/org/junit/jupiter/api/MethodDescriptor.java:29-90; data/code/junit-jupiter-engine/src/main/java/org/junit/jupiter/engine/discovery/AbstractAnnotatedDescriptorWrapper.java:28-65; data/code/junit-jupiter-engine/src/main/java/org/junit/jupiter/engine/discovery/DefaultClassDescriptor.java:23-39; data/code/junit-jupiter-engine/src/main/java/org/junit/jupiter/engine/discovery/DefaultMethodDescriptor.java:25-41; data/code/junit-jupiter-engine/src/main/java/org/junit/jupiter/engine/descriptor/ClassBasedTestDescriptor.java:89-601; data/code/junit-jupiter-engine/src/main/java/org/junit/jupiter/engine/descriptor/MethodBasedTestDescriptor.java:56-217; data/code/junit-jupiter-engine/src/main/java/org/junit/jupiter/engine/discovery/ClassOrderingVisitor.java:38-165</t>
        </is>
      </c>
      <c r="G8" s="8" t="inlineStr">
        <is>
          <t>User ClassOrderer/MethodOrderer code expects the public ClassDescriptor/MethodDescriptor API; the wrappers expose internal descriptors through it so internal classes never leak to user code.</t>
        </is>
      </c>
    </row>
    <row r="9">
      <c r="A9" s="8" t="inlineStr">
        <is>
          <t>Original code</t>
        </is>
      </c>
      <c r="B9" s="8" t="inlineStr">
        <is>
          <t>Template Method</t>
        </is>
      </c>
      <c r="C9" s="8" t="inlineStr">
        <is>
          <t>Behavioral</t>
        </is>
      </c>
      <c r="D9" s="8" t="inlineStr">
        <is>
          <t>B1 Hierarchical Engine Execution Skeleton</t>
        </is>
      </c>
      <c r="E9" s="8" t="inlineStr">
        <is>
          <t>AbstractClass=org.junit.platform.engine.support.hierarchical.HierarchicalTestEngine; TemplateMethod=org.junit.platform.engine.support.hierarchical.HierarchicalTestEngine#execute; PrimitiveOperation=org.junit.platform.engine.support.hierarchical.HierarchicalTestEngine#createExecutionContext; ConcreteClass=org.junit.jupiter.engine.JupiterTestEngine</t>
        </is>
      </c>
      <c r="F9" s="8" t="inlineStr">
        <is>
          <t>data/code/junit-platform-engine/src/main/java/org/junit/platform/engine/support/hierarchical/HierarchicalTestEngine.java:31-119; data/code/junit-platform-engine/src/main/java/org/junit/platform/engine/support/hierarchical/HierarchicalTestEngine.java:53-63; data/code/junit-platform-engine/src/main/java/org/junit/platform/engine/support/hierarchical/HierarchicalTestEngine.java:117-117; data/code/junit-jupiter-engine/src/main/java/org/junit/jupiter/engine/JupiterTestEngine.java:44-108</t>
        </is>
      </c>
      <c r="G9" s="8" t="inlineStr">
        <is>
          <t>final HierarchicalTestEngine.execute fixes the run order (executor service, context, collector factory, HierarchicalTestExecutor); JupiterTestEngine only supplies the steps. Overlaps B2.</t>
        </is>
      </c>
    </row>
    <row r="10">
      <c r="A10" s="8" t="inlineStr">
        <is>
          <t>Original code</t>
        </is>
      </c>
      <c r="B10" s="8" t="inlineStr">
        <is>
          <t>Factory Method</t>
        </is>
      </c>
      <c r="C10" s="8" t="inlineStr">
        <is>
          <t>Creational</t>
        </is>
      </c>
      <c r="D10" s="8" t="inlineStr">
        <is>
          <t>B2 Engine Collaborator Factory Methods</t>
        </is>
      </c>
      <c r="E10" s="8" t="inlineStr">
        <is>
          <t>Creator (factory method)=org.junit.platform.engine.support.hierarchical.HierarchicalTestEngine#createExecutorService; ConcreteCreator=org.junit.jupiter.engine.JupiterTestEngine#createExecutorService; ConcreteCreator=org.junit.jupiter.engine.JupiterTestEngine#createExecutionContext; ConcreteCreator=org.junit.jupiter.engine.JupiterTestEngine#createThrowableCollectorFactory; ConcreteProduct=org.junit.jupiter.engine.execution.JupiterEngineExecutionContext</t>
        </is>
      </c>
      <c r="F10" s="8" t="inlineStr">
        <is>
          <t>data/code/junit-platform-engine/src/main/java/org/junit/platform/engine/support/hierarchical/HierarchicalTestEngine.java:83-85; data/code/junit-jupiter-engine/src/main/java/org/junit/jupiter/engine/JupiterTestEngine.java:80-87; data/code/junit-jupiter-engine/src/main/java/org/junit/jupiter/engine/JupiterTestEngine.java:90-93; data/code/junit-jupiter-engine/src/main/java/org/junit/jupiter/engine/JupiterTestEngine.java:99-101; data/code/junit-jupiter-engine/src/main/java/org/junit/jupiter/engine/execution/JupiterEngineExecutionContext.java:30-209</t>
        </is>
      </c>
      <c r="G10" s="8" t="inlineStr">
        <is>
          <t>The template in B1 asks overridable create* methods which objects to use; JupiterTestEngine overrides them to choose a parallel/same-thread executor, its JupiterEngineExecutionContext and its throwable-collector factory. Overlaps B1.</t>
        </is>
      </c>
    </row>
    <row r="11">
      <c r="A11" s="8" t="inlineStr">
        <is>
          <t>Original code</t>
        </is>
      </c>
      <c r="B11" s="8" t="inlineStr">
        <is>
          <t>Strategy</t>
        </is>
      </c>
      <c r="C11" s="8" t="inlineStr">
        <is>
          <t>Behavioral</t>
        </is>
      </c>
      <c r="D11" s="8" t="inlineStr">
        <is>
          <t>B3 Test Executor Services</t>
        </is>
      </c>
      <c r="E11" s="8" t="inlineStr">
        <is>
          <t>Strategy=org.junit.platform.engine.support.hierarchical.HierarchicalTestExecutorService; ConcreteStrategy=org.junit.platform.engine.support.hierarchical.SameThreadHierarchicalTestExecutorService; ConcreteStrategy=org.junit.platform.engine.support.hierarchical.ForkJoinPoolHierarchicalTestExecutorService; ConcreteStrategy=org.junit.platform.engine.support.hierarchical.WorkerThreadPoolHierarchicalTestExecutorService; Context=org.junit.platform.engine.support.hierarchical.HierarchicalTestExecutor; Context=org.junit.platform.engine.support.hierarchical.NodeTestTask#executeRecursively</t>
        </is>
      </c>
      <c r="F11" s="8" t="inlineStr">
        <is>
          <t>data/code/junit-platform-engine/src/main/java/org/junit/platform/engine/support/hierarchical/HierarchicalTestExecutorService.java:34-118; data/code/junit-platform-engine/src/main/java/org/junit/platform/engine/support/hierarchical/SameThreadHierarchicalTestExecutorService.java:29-50; data/code/junit-platform-engine/src/main/java/org/junit/platform/engine/support/hierarchical/ForkJoinPoolHierarchicalTestExecutorService.java:51-331; data/code/junit-platform-engine/src/main/java/org/junit/platform/engine/support/hierarchical/WorkerThreadPoolHierarchicalTestExecutorService.java:70-901; data/code/junit-platform-engine/src/main/java/org/junit/platform/engine/support/hierarchical/HierarchicalTestExecutor.java:36-71; data/code/junit-platform-engine/src/main/java/org/junit/platform/engine/support/hierarchical/NodeTestTask.java:157-189</t>
        </is>
      </c>
      <c r="G11" s="8" t="inlineStr">
        <is>
          <t>Sequential vs parallel scheduling is swappable behind HierarchicalTestExecutorService; NodeTestTask and HierarchicalTestExecutor only call submit/invokeAll.</t>
        </is>
      </c>
    </row>
    <row r="12">
      <c r="A12" s="8" t="inlineStr">
        <is>
          <t>Original code</t>
        </is>
      </c>
      <c r="B12" s="8" t="inlineStr">
        <is>
          <t>Strategy</t>
        </is>
      </c>
      <c r="C12" s="8" t="inlineStr">
        <is>
          <t>Behavioral</t>
        </is>
      </c>
      <c r="D12" s="8" t="inlineStr">
        <is>
          <t>B4 Parallelism Configuration Strategy</t>
        </is>
      </c>
      <c r="E12" s="8" t="inlineStr">
        <is>
          <t>Strategy=org.junit.platform.engine.support.hierarchical.ParallelExecutionConfigurationStrategy; ConcreteStrategy (enum FIXED/DYNAMIC/CUSTOM)=org.junit.platform.engine.support.hierarchical.DefaultParallelExecutionConfigurationStrategy; Selection=org.junit.platform.engine.support.hierarchical.DefaultParallelExecutionConfigurationStrategy#getStrategy; Context=org.junit.platform.engine.support.hierarchical.ParallelHierarchicalTestExecutorServiceFactory</t>
        </is>
      </c>
      <c r="F12" s="8" t="inlineStr">
        <is>
          <t>data/code/junit-platform-engine/src/main/java/org/junit/platform/engine/support/hierarchical/ParallelExecutionConfigurationStrategy.java:25-33; data/code/junit-platform-engine/src/main/java/org/junit/platform/engine/support/hierarchical/DefaultParallelExecutionConfigurationStrategy.java:33-228; data/code/junit-platform-engine/src/main/java/org/junit/platform/engine/support/hierarchical/DefaultParallelExecutionConfigurationStrategy.java:223-226; data/code/junit-platform-engine/src/main/java/org/junit/platform/engine/support/hierarchical/ParallelHierarchicalTestExecutorServiceFactory.java:33-123</t>
        </is>
      </c>
      <c r="G12" s="8" t="inlineStr">
        <is>
          <t>How parallelism is computed (FIXED, DYNAMIC from CPU count, CUSTOM user class) is chosen by configuration; each enum constant implements createConfiguration.</t>
        </is>
      </c>
    </row>
    <row r="13">
      <c r="A13" s="8" t="inlineStr">
        <is>
          <t>Original code</t>
        </is>
      </c>
      <c r="B13" s="8" t="inlineStr">
        <is>
          <t>Decorator</t>
        </is>
      </c>
      <c r="C13" s="8" t="inlineStr">
        <is>
          <t>Structural</t>
        </is>
      </c>
      <c r="D13" s="8" t="inlineStr">
        <is>
          <t>B5 Intercepting Launcher Wrappers</t>
        </is>
      </c>
      <c r="E13" s="8" t="inlineStr">
        <is>
          <t>Component=org.junit.platform.launcher.Launcher; ConcreteComponent=org.junit.platform.launcher.core.DefaultLauncher; Decorator=org.junit.platform.launcher.core.DelegatingLauncher; ConcreteDecorator=org.junit.platform.launcher.core.InterceptingLauncher; Assembler=org.junit.platform.launcher.core.DefaultLauncherSession</t>
        </is>
      </c>
      <c r="F13" s="8" t="inlineStr">
        <is>
          <t>data/code/junit-platform-launcher/src/main/java/org/junit/platform/launcher/Launcher.java:53-164; data/code/junit-platform-launcher/src/main/java/org/junit/platform/launcher/core/DefaultLauncher.java:43-145; data/code/junit-platform-launcher/src/main/java/org/junit/platform/launcher/core/DelegatingLauncher.java:24-73; data/code/junit-platform-launcher/src/main/java/org/junit/platform/launcher/core/InterceptingLauncher.java:25-70; data/code/junit-platform-launcher/src/main/java/org/junit/platform/launcher/core/DefaultLauncherSession.java:35-159</t>
        </is>
      </c>
      <c r="G13" s="8" t="inlineStr">
        <is>
          <t>The session's launcher is DelegatingLauncher &gt; InterceptingLauncher &gt; DefaultLauncher; each wrapper implements Launcher and forwards, InterceptingLauncher adds LauncherInterceptor around every call.</t>
        </is>
      </c>
    </row>
    <row r="14">
      <c r="A14" s="8" t="inlineStr">
        <is>
          <t>Original code</t>
        </is>
      </c>
      <c r="B14" s="8" t="inlineStr">
        <is>
          <t>Decorator</t>
        </is>
      </c>
      <c r="C14" s="8" t="inlineStr">
        <is>
          <t>Structural</t>
        </is>
      </c>
      <c r="D14" s="8" t="inlineStr">
        <is>
          <t>B6 Engine Listener Wrappers</t>
        </is>
      </c>
      <c r="E14" s="8" t="inlineStr">
        <is>
          <t>Component=org.junit.platform.engine.EngineExecutionListener; Decorator=org.junit.platform.launcher.core.DelegatingEngineExecutionListener; ConcreteDecorator=org.junit.platform.launcher.core.StackTracePruningEngineExecutionListener; ConcreteDecorator=org.junit.platform.launcher.core.OutcomeDelayingEngineExecutionListener; ConcreteDecorator=org.junit.platform.launcher.core.MemoryCleanupListener; Assembler=org.junit.platform.launcher.core.EngineExecutionOrchestrator#executeEngine</t>
        </is>
      </c>
      <c r="F14" s="8" t="inlineStr">
        <is>
          <t>data/code/junit-platform-engine/src/main/java/org/junit/platform/engine/EngineExecutionListener.java:34-164; data/code/junit-platform-launcher/src/main/java/org/junit/platform/launcher/core/DelegatingEngineExecutionListener.java:22-59; data/code/junit-platform-launcher/src/main/java/org/junit/platform/launcher/core/StackTracePruningEngineExecutionListener.java:31-70; data/code/junit-platform-launcher/src/main/java/org/junit/platform/launcher/core/OutcomeDelayingEngineExecutionListener.java:28-101; data/code/junit-platform-launcher/src/main/java/org/junit/platform/launcher/core/MemoryCleanupListener.java:30-93; data/code/junit-platform-launcher/src/main/java/org/junit/platform/launcher/core/EngineExecutionOrchestrator.java:248-275</t>
        </is>
      </c>
      <c r="G14" s="8" t="inlineStr">
        <is>
          <t>EngineExecutionOrchestrator stacks independent wrappers (stack-trace pruning, outcome delaying, memory cleanup) on the engine listener; each forwards and adds one behaviour. Also part of Area C.</t>
        </is>
      </c>
    </row>
    <row r="15">
      <c r="A15" s="8" t="inlineStr">
        <is>
          <t>Original code</t>
        </is>
      </c>
      <c r="B15" s="8" t="inlineStr">
        <is>
          <t>Adapter</t>
        </is>
      </c>
      <c r="C15" s="8" t="inlineStr">
        <is>
          <t>Structural</t>
        </is>
      </c>
      <c r="D15" s="8" t="inlineStr">
        <is>
          <t>B7 Engine-to-Launcher Listener Adapter</t>
        </is>
      </c>
      <c r="E15" s="8" t="inlineStr">
        <is>
          <t>Target=org.junit.platform.engine.EngineExecutionListener; Adapter=org.junit.platform.launcher.core.ExecutionListenerAdapter; Adaptee=org.junit.platform.launcher.TestExecutionListener; Client (wiring)=org.junit.platform.launcher.core.EngineExecutionOrchestrator#buildEngineExecutionListener</t>
        </is>
      </c>
      <c r="F15" s="8" t="inlineStr">
        <is>
          <t>data/code/junit-platform-engine/src/main/java/org/junit/platform/engine/EngineExecutionListener.java:34-164; data/code/junit-platform-launcher/src/main/java/org/junit/platform/launcher/core/ExecutionListenerAdapter.java:28-74; data/code/junit-platform-launcher/src/main/java/org/junit/platform/launcher/TestExecutionListener.java:76-203; data/code/junit-platform-launcher/src/main/java/org/junit/platform/launcher/core/EngineExecutionOrchestrator.java:141-152</t>
        </is>
      </c>
      <c r="G15" s="8" t="inlineStr">
        <is>
          <t>Engines report with mutable TestDescriptors; ExecutionListenerAdapter implements EngineExecutionListener and forwards to a TestExecutionListener with immutable TestIdentifiers looked up in the TestPlan. Also part of Area C.</t>
        </is>
      </c>
    </row>
    <row r="16">
      <c r="A16" s="8" t="inlineStr">
        <is>
          <t>Original code</t>
        </is>
      </c>
      <c r="B16" s="8" t="inlineStr">
        <is>
          <t>Observer</t>
        </is>
      </c>
      <c r="C16" s="8" t="inlineStr">
        <is>
          <t>Behavioral</t>
        </is>
      </c>
      <c r="D16" s="8" t="inlineStr">
        <is>
          <t>B8 Execution Event Notification</t>
        </is>
      </c>
      <c r="E16" s="8" t="inlineStr">
        <is>
          <t>Observer=org.junit.platform.engine.EngineExecutionListener; ConcreteObserver=org.junit.platform.launcher.core.OutcomeDelayingEngineExecutionListener; ConcreteObserver=org.junit.platform.launcher.core.ExecutionListenerAdapter; Subject (notify)=org.junit.platform.engine.support.hierarchical.NodeTestTask#executeRecursively; Subject (notify)=org.junit.platform.engine.support.hierarchical.NodeTestTask#reportCompletion</t>
        </is>
      </c>
      <c r="F16" s="8" t="inlineStr">
        <is>
          <t>data/code/junit-platform-engine/src/main/java/org/junit/platform/engine/EngineExecutionListener.java:34-164; data/code/junit-platform-launcher/src/main/java/org/junit/platform/launcher/core/OutcomeDelayingEngineExecutionListener.java:28-101; data/code/junit-platform-launcher/src/main/java/org/junit/platform/launcher/core/ExecutionListenerAdapter.java:28-74; data/code/junit-platform-engine/src/main/java/org/junit/platform/engine/support/hierarchical/NodeTestTask.java:157-189; data/code/junit-platform-engine/src/main/java/org/junit/platform/engine/support/hierarchical/NodeTestTask.java:195-226</t>
        </is>
      </c>
      <c r="G16" s="8" t="inlineStr">
        <is>
          <t>During execution NodeTestTask pushes executionStarted/Skipped/Finished to the EngineExecutionListener from the ExecutionRequest, without knowing who listens. Also part of Area C.</t>
        </is>
      </c>
    </row>
    <row r="17">
      <c r="A17" s="8" t="inlineStr">
        <is>
          <t>Original code</t>
        </is>
      </c>
      <c r="B17" s="8" t="inlineStr">
        <is>
          <t>Command</t>
        </is>
      </c>
      <c r="C17" s="8" t="inlineStr">
        <is>
          <t>Behavioral</t>
        </is>
      </c>
      <c r="D17" s="8" t="inlineStr">
        <is>
          <t>B9 Node Execution Tasks</t>
        </is>
      </c>
      <c r="E17" s="8" t="inlineStr">
        <is>
          <t>Command=org.junit.platform.engine.support.hierarchical.HierarchicalTestExecutorService.TestTask; ConcreteCommand=org.junit.platform.engine.support.hierarchical.NodeTestTask; Invoker=org.junit.platform.engine.support.hierarchical.SameThreadHierarchicalTestExecutorService; Invoker=org.junit.platform.engine.support.hierarchical.ForkJoinPoolHierarchicalTestExecutorService</t>
        </is>
      </c>
      <c r="F17" s="8" t="inlineStr">
        <is>
          <t>data/code/junit-platform-engine/src/main/java/org/junit/platform/engine/support/hierarchical/HierarchicalTestExecutorService.java:88-116; data/code/junit-platform-engine/src/main/java/org/junit/platform/engine/support/hierarchical/NodeTestTask.java:46-307; data/code/junit-platform-engine/src/main/java/org/junit/platform/engine/support/hierarchical/SameThreadHierarchicalTestExecutorService.java:29-50; data/code/junit-platform-engine/src/main/java/org/junit/platform/engine/support/hierarchical/ForkJoinPoolHierarchicalTestExecutorService.java:51-331</t>
        </is>
      </c>
      <c r="G17" s="8" t="inlineStr">
        <is>
          <t>Each node's work is packaged as a TestTask object (execute + execution mode + lock) and handed to an executor service that decides when and on which thread to run it.</t>
        </is>
      </c>
    </row>
    <row r="18">
      <c r="A18" s="8" t="inlineStr">
        <is>
          <t>Original code</t>
        </is>
      </c>
      <c r="B18" s="8" t="inlineStr">
        <is>
          <t>Null Object</t>
        </is>
      </c>
      <c r="C18" s="8" t="inlineStr">
        <is>
          <t>Behavioral</t>
        </is>
      </c>
      <c r="D18" s="8" t="inlineStr">
        <is>
          <t>B10 No-op Node</t>
        </is>
      </c>
      <c r="E18" s="8" t="inlineStr">
        <is>
          <t>AbstractObject=org.junit.platform.engine.support.hierarchical.Node; NullObject provider=org.junit.platform.engine.support.hierarchical.NodeUtils#asNode; Client=org.junit.platform.engine.support.hierarchical.NodeTestTask</t>
        </is>
      </c>
      <c r="F18" s="8" t="inlineStr">
        <is>
          <t>data/code/junit-platform-engine/src/main/java/org/junit/platform/engine/support/hierarchical/Node.java:38-381; data/code/junit-platform-engine/src/main/java/org/junit/platform/engine/support/hierarchical/NodeUtils.java:25-27; data/code/junit-platform-engine/src/main/java/org/junit/platform/engine/support/hierarchical/NodeTestTask.java:46-307</t>
        </is>
      </c>
      <c r="G18" s="8" t="inlineStr">
        <is>
          <t>A TestDescriptor that is not a Node gets a do-nothing Node from NodeUtils.asNode, so NodeTestTask never needs null checks.</t>
        </is>
      </c>
    </row>
    <row r="19">
      <c r="A19" s="8" t="inlineStr">
        <is>
          <t>Original code</t>
        </is>
      </c>
      <c r="B19" s="8" t="inlineStr">
        <is>
          <t>Observer</t>
        </is>
      </c>
      <c r="C19" s="8" t="inlineStr">
        <is>
          <t>Behavioral</t>
        </is>
      </c>
      <c r="D19" s="8" t="inlineStr">
        <is>
          <t>C1 Test Execution Listeners</t>
        </is>
      </c>
      <c r="E19" s="8" t="inlineStr">
        <is>
          <t>Observer=org.junit.platform.launcher.TestExecutionListener; ConcreteObserver=org.junit.platform.launcher.listeners.SummaryGeneratingListener; ConcreteObserver=org.junit.platform.launcher.listeners.LoggingListener; ConcreteObserver=org.junit.platform.launcher.listeners.UniqueIdTrackingListener; ConcreteObserver=org.junit.platform.launcher.jfr.FlightRecordingExecutionListener; ConcreteObserver=org.junit.platform.launcher.core.StreamInterceptingTestExecutionListener; Subject (attach)=org.junit.platform.launcher.core.DefaultLauncher#registerTestExecutionListeners; Subject (notify)=org.junit.platform.launcher.core.CompositeTestExecutionListener#notifyEach</t>
        </is>
      </c>
      <c r="F19" s="8" t="inlineStr">
        <is>
          <t>data/code/junit-platform-launcher/src/main/java/org/junit/platform/launcher/TestExecutionListener.java:76-203; data/code/junit-platform-launcher/src/main/java/org/junit/platform/launcher/listeners/SummaryGeneratingListener.java:36-148; data/code/junit-platform-launcher/src/main/java/org/junit/platform/launcher/listeners/LoggingListener.java:39-132; data/code/junit-platform-launcher/src/main/java/org/junit/platform/launcher/listeners/UniqueIdTrackingListener.java:94-217; data/code/junit-platform-launcher/src/main/java/org/junit/platform/launcher/jfr/FlightRecordingExecutionListener.java:43-225; data/code/junit-platform-launcher/src/main/java/org/junit/platform/launcher/core/StreamInterceptingTestExecutionListener.java:35-99; data/code/junit-platform-launcher/src/main/java/org/junit/platform/launcher/core/DefaultLauncher.java:80-84; data/code/junit-platform-launcher/src/main/java/org/junit/platform/launcher/core/CompositeTestExecutionListener.java:104-116</t>
        </is>
      </c>
      <c r="G19" s="8" t="inlineStr">
        <is>
          <t>Client-side observers (IDE, summary, logging, unique-id file, JFR, stdout capture) register three ways and are notified of the same run events; notifyEach isolates each listener's failure. Different from B8 (engine side).</t>
        </is>
      </c>
    </row>
    <row r="20">
      <c r="A20" s="8" t="inlineStr">
        <is>
          <t>Original code</t>
        </is>
      </c>
      <c r="B20" s="8" t="inlineStr">
        <is>
          <t>Observer</t>
        </is>
      </c>
      <c r="C20" s="8" t="inlineStr">
        <is>
          <t>Behavioral</t>
        </is>
      </c>
      <c r="D20" s="8" t="inlineStr">
        <is>
          <t>C2 Launcher Session Notification</t>
        </is>
      </c>
      <c r="E20" s="8" t="inlineStr">
        <is>
          <t>Observer=org.junit.platform.launcher.LauncherSessionListener; Subject=org.junit.platform.launcher.core.DefaultLauncherSession; Multicaster=org.junit.platform.launcher.listeners.session.CompositeLauncherSessionListener</t>
        </is>
      </c>
      <c r="F20" s="8" t="inlineStr">
        <is>
          <t>data/code/junit-platform-launcher/src/main/java/org/junit/platform/launcher/LauncherSessionListener.java:43-67; data/code/junit-platform-launcher/src/main/java/org/junit/platform/launcher/core/DefaultLauncherSession.java:35-159; data/code/junit-platform-launcher/src/main/java/org/junit/platform/launcher/listeners/session/CompositeLauncherSessionListener.java:24-41</t>
        </is>
      </c>
      <c r="G20" s="8" t="inlineStr">
        <is>
          <t>LauncherSessionListeners are told when a launcher session opens and closes by DefaultLauncherSession.</t>
        </is>
      </c>
    </row>
    <row r="21">
      <c r="A21" s="8" t="inlineStr">
        <is>
          <t>Original code</t>
        </is>
      </c>
      <c r="B21" s="8" t="inlineStr">
        <is>
          <t>Strategy</t>
        </is>
      </c>
      <c r="C21" s="8" t="inlineStr">
        <is>
          <t>Behavioral</t>
        </is>
      </c>
      <c r="D21" s="8" t="inlineStr">
        <is>
          <t>C3 Listener Notification Order</t>
        </is>
      </c>
      <c r="E21" s="8" t="inlineStr">
        <is>
          <t>Strategy + ConcreteStrategies (ORIGINAL, REVERSED)=org.junit.platform.launcher.core.IterationOrder; Context=org.junit.platform.launcher.core.CompositeTestExecutionListener#notifyEach; Context=org.junit.platform.launcher.core.CompositeEngineExecutionListener#notifyEach</t>
        </is>
      </c>
      <c r="F21" s="8" t="inlineStr">
        <is>
          <t>data/code/junit-platform-launcher/src/main/java/org/junit/platform/launcher/core/IterationOrder.java:18-35; data/code/junit-platform-launcher/src/main/java/org/junit/platform/launcher/core/CompositeTestExecutionListener.java:104-116; data/code/junit-platform-launcher/src/main/java/org/junit/platform/launcher/core/CompositeEngineExecutionListener.java:78-90</t>
        </is>
      </c>
      <c r="G21" s="8" t="inlineStr">
        <is>
          <t>The order in which listeners are notified is an interchangeable algorithm: IterationOrder.ORIGINAL for started events, REVERSED for finished events, used by notifyEach.</t>
        </is>
      </c>
    </row>
    <row r="22">
      <c r="A22" s="8" t="inlineStr">
        <is>
          <t>Original code</t>
        </is>
      </c>
      <c r="B22" s="8" t="inlineStr">
        <is>
          <t>Strategy</t>
        </is>
      </c>
      <c r="C22" s="8" t="inlineStr">
        <is>
          <t>Behavioral</t>
        </is>
      </c>
      <c r="D22" s="8" t="inlineStr">
        <is>
          <t>C4 Pluggable Log Sink</t>
        </is>
      </c>
      <c r="E22" s="8" t="inlineStr">
        <is>
          <t>Strategy=java.util.function.BiConsumer; ConcreteStrategy factory=org.junit.platform.launcher.listeners.LoggingListener#forJavaUtilLogging; ConcreteStrategy factory=org.junit.platform.launcher.listeners.LoggingListener#forBiConsumer; Context=org.junit.platform.launcher.listeners.LoggingListener</t>
        </is>
      </c>
      <c r="F22" s="8" t="inlineStr">
        <is>
          <t>java.util.function.BiConsumer (JDK); data/code/junit-platform-launcher/src/main/java/org/junit/platform/launcher/listeners/LoggingListener.java:49-51; data/code/junit-platform-launcher/src/main/java/org/junit/platform/launcher/listeners/LoggingListener.java:82-84; data/code/junit-platform-launcher/src/main/java/org/junit/platform/launcher/listeners/LoggingListener.java:39-132</t>
        </is>
      </c>
      <c r="G22" s="8" t="inlineStr">
        <is>
          <t>LoggingListener's behaviour is fixed but where log lines go is an injected BiConsumer (java.util.logging via forJavaUtilLogging, or any sink via forBiConsumer).</t>
        </is>
      </c>
    </row>
    <row r="23">
      <c r="A23" s="8" t="inlineStr">
        <is>
          <t>Original code</t>
        </is>
      </c>
      <c r="B23" s="8" t="inlineStr">
        <is>
          <t>Adapter</t>
        </is>
      </c>
      <c r="C23" s="8" t="inlineStr">
        <is>
          <t>Structural</t>
        </is>
      </c>
      <c r="D23" s="8" t="inlineStr">
        <is>
          <t>C5 Test Reporter Adapter</t>
        </is>
      </c>
      <c r="E23" s="8" t="inlineStr">
        <is>
          <t>Target=org.junit.jupiter.api.TestReporter; Adapter=org.junit.jupiter.engine.extension.DefaultTestReporter; Adaptee=org.junit.jupiter.engine.descriptor.AbstractExtensionContext#publishReportEntry</t>
        </is>
      </c>
      <c r="F23" s="8" t="inlineStr">
        <is>
          <t>data/code/junit-jupiter-api/src/main/java/org/junit/jupiter/api/TestReporter.java:47-231; data/code/junit-jupiter-engine/src/main/java/org/junit/jupiter/engine/extension/DefaultTestReporter.java:24-47; data/code/junit-jupiter-engine/src/main/java/org/junit/jupiter/engine/descriptor/AbstractExtensionContext.java:141-143</t>
        </is>
      </c>
      <c r="G23" s="8" t="inlineStr">
        <is>
          <t>Tests call the simple TestReporter API; DefaultTestReporter implements it by calling ExtensionContext.publishReportEntry, which turns the map into a ReportEntry event.</t>
        </is>
      </c>
    </row>
    <row r="24">
      <c r="A24" s="8" t="inlineStr">
        <is>
          <t>Original code</t>
        </is>
      </c>
      <c r="B24" s="8" t="inlineStr">
        <is>
          <t>Decorator</t>
        </is>
      </c>
      <c r="C24" s="8" t="inlineStr">
        <is>
          <t>Structural</t>
        </is>
      </c>
      <c r="D24" s="8" t="inlineStr">
        <is>
          <t>C6 Captured Output Stream</t>
        </is>
      </c>
      <c r="E24" s="8" t="inlineStr">
        <is>
          <t>Component=java.io.PrintStream; ConcreteDecorator=org.junit.platform.launcher.core.StreamInterceptor; Installer / client=org.junit.platform.launcher.core.StreamInterceptingTestExecutionListener</t>
        </is>
      </c>
      <c r="F24" s="8" t="inlineStr">
        <is>
          <t>java.io.PrintStream (JDK); data/code/junit-platform-launcher/src/main/java/org/junit/platform/launcher/core/StreamInterceptor.java:27-145; data/code/junit-platform-launcher/src/main/java/org/junit/platform/launcher/core/StreamInterceptingTestExecutionListener.java:35-99</t>
        </is>
      </c>
      <c r="G24" s="8" t="inlineStr">
        <is>
          <t>StreamInterceptor extends PrintStream, wraps System.out/err, copies every write into a per-thread buffer and still forwards to the original stream (super.write).</t>
        </is>
      </c>
    </row>
    <row r="25">
      <c r="A25" s="8" t="inlineStr">
        <is>
          <t>Original code</t>
        </is>
      </c>
      <c r="B25" s="8" t="inlineStr">
        <is>
          <t>Null Object</t>
        </is>
      </c>
      <c r="C25" s="8" t="inlineStr">
        <is>
          <t>Behavioral</t>
        </is>
      </c>
      <c r="D25" s="8" t="inlineStr">
        <is>
          <t>C7 No-op Listeners</t>
        </is>
      </c>
      <c r="E25" s="8" t="inlineStr">
        <is>
          <t>NullObject holder=org.junit.platform.engine.EngineExecutionListener; NullObject holder=org.junit.platform.launcher.LauncherSessionListener; Client=org.junit.platform.launcher.listeners.session.LauncherSessionListeners</t>
        </is>
      </c>
      <c r="F25" s="8" t="inlineStr">
        <is>
          <t>data/code/junit-platform-engine/src/main/java/org/junit/platform/engine/EngineExecutionListener.java:34-164; data/code/junit-platform-launcher/src/main/java/org/junit/platform/launcher/LauncherSessionListener.java:43-67; data/code/junit-platform-launcher/src/main/java/org/junit/platform/launcher/listeners/session/LauncherSessionListeners.java:28-45</t>
        </is>
      </c>
      <c r="G25" s="8" t="inlineStr">
        <is>
          <t>EngineExecutionListener.NOOP and LauncherSessionListener.NOOP stand in for 'no listener' so callers never check for null; LauncherSessionListeners returns NOOP for an empty list.</t>
        </is>
      </c>
    </row>
    <row r="26">
      <c r="A26" s="8" t="inlineStr">
        <is>
          <t>Original code</t>
        </is>
      </c>
      <c r="B26" s="8" t="inlineStr">
        <is>
          <t>Strategy</t>
        </is>
      </c>
      <c r="C26" s="8" t="inlineStr">
        <is>
          <t>Behavioral</t>
        </is>
      </c>
      <c r="D26" s="8" t="inlineStr">
        <is>
          <t>D1 Temp Directory Creation</t>
        </is>
      </c>
      <c r="E26" s="8" t="inlineStr">
        <is>
          <t>Strategy=org.junit.jupiter.api.io.TempDirFactory; ConcreteStrategy=org.junit.jupiter.api.io.TempDirFactory.Standard; Selection=org.junit.jupiter.engine.extension.TempDirectory#determineTempDirFactory; Context=org.junit.jupiter.engine.extension.TempDirectory</t>
        </is>
      </c>
      <c r="F26" s="8" t="inlineStr">
        <is>
          <t>data/code/junit-jupiter-api/src/main/java/org/junit/jupiter/api/io/TempDirFactory.java:49-100; data/code/junit-jupiter-api/src/main/java/org/junit/jupiter/api/io/TempDirFactory.java:83-98; data/code/junit-jupiter-engine/src/main/java/org/junit/jupiter/engine/extension/TempDirectory.java:194-200; data/code/junit-jupiter-engine/src/main/java/org/junit/jupiter/engine/extension/TempDirectory.java:72-359</t>
        </is>
      </c>
      <c r="G26" s="8" t="inlineStr">
        <is>
          <t>How a @TempDir directory is created is a TempDirFactory chosen from @TempDir(factory) or the configuration; TempDirFactory.Standard is the default.</t>
        </is>
      </c>
    </row>
    <row r="27">
      <c r="A27" s="8" t="inlineStr">
        <is>
          <t>Original code</t>
        </is>
      </c>
      <c r="B27" s="8" t="inlineStr">
        <is>
          <t>Strategy</t>
        </is>
      </c>
      <c r="C27" s="8" t="inlineStr">
        <is>
          <t>Behavioral</t>
        </is>
      </c>
      <c r="D27" s="8" t="inlineStr">
        <is>
          <t>D2 Temp Directory Deletion</t>
        </is>
      </c>
      <c r="E27" s="8" t="inlineStr">
        <is>
          <t>Strategy=org.junit.jupiter.api.io.TempDirDeletionStrategy; ConcreteStrategy=org.junit.jupiter.api.io.TempDirDeletionStrategy.IgnoreFailures; ConcreteStrategy=org.junit.jupiter.api.io.TempDirDeletionStrategy.Standard; Selection=org.junit.jupiter.engine.extension.TempDirectory#determineDeletionStrategy</t>
        </is>
      </c>
      <c r="F27" s="8" t="inlineStr">
        <is>
          <t>data/code/junit-jupiter-api/src/main/java/org/junit/jupiter/api/io/TempDirDeletionStrategy.java:71-474; data/code/junit-jupiter-api/src/main/java/org/junit/jupiter/api/io/TempDirDeletionStrategy.java:97-149; data/code/junit-jupiter-api/src/main/java/org/junit/jupiter/api/io/TempDirDeletionStrategy.java:165-360; data/code/junit-jupiter-engine/src/main/java/org/junit/jupiter/engine/extension/TempDirectory.java:187-192</t>
        </is>
      </c>
      <c r="G27" s="8" t="inlineStr">
        <is>
          <t>How a temp directory is deleted is a TempDirDeletionStrategy (IgnoreFailures or Standard) chosen from @TempDir(deletionStrategy) or the configuration and called from Cleanup.run.</t>
        </is>
      </c>
    </row>
    <row r="28">
      <c r="A28" s="8" t="inlineStr">
        <is>
          <t>Original code</t>
        </is>
      </c>
      <c r="B28" s="8" t="inlineStr">
        <is>
          <t>Strategy</t>
        </is>
      </c>
      <c r="C28" s="8" t="inlineStr">
        <is>
          <t>Behavioral</t>
        </is>
      </c>
      <c r="D28" s="8" t="inlineStr">
        <is>
          <t>D3 Parameter Resolution</t>
        </is>
      </c>
      <c r="E28" s="8" t="inlineStr">
        <is>
          <t>Strategy=org.junit.jupiter.api.extension.ParameterResolver; ConcreteStrategy=org.junit.jupiter.engine.extension.TempDirectory; ConcreteStrategy=org.junit.jupiter.engine.extension.TestInfoParameterResolver; ConcreteStrategy=org.junit.jupiter.engine.extension.TestReporterParameterResolver; Context=org.junit.jupiter.engine.execution.ParameterResolutionUtils#resolveParameter</t>
        </is>
      </c>
      <c r="F28" s="8" t="inlineStr">
        <is>
          <t>data/code/junit-jupiter-api/src/main/java/org/junit/jupiter/api/extension/ParameterResolver.java:69-116; data/code/junit-jupiter-engine/src/main/java/org/junit/jupiter/engine/extension/TempDirectory.java:72-359; data/code/junit-jupiter-engine/src/main/java/org/junit/jupiter/engine/extension/TestInfoParameterResolver.java:30-100; data/code/junit-jupiter-engine/src/main/java/org/junit/jupiter/engine/extension/TestReporterParameterResolver.java:23-40; data/code/junit-jupiter-engine/src/main/java/org/junit/jupiter/engine/execution/ParameterResolutionUtils.java:127-180</t>
        </is>
      </c>
      <c r="G28" s="8" t="inlineStr">
        <is>
          <t>For each parameter the context asks every ParameterResolver supportsParameter; exactly one must match and its resolveParameter supplies the value (none or several is an error).</t>
        </is>
      </c>
    </row>
    <row r="29">
      <c r="A29" s="8" t="inlineStr">
        <is>
          <t>Original code</t>
        </is>
      </c>
      <c r="B29" s="8" t="inlineStr">
        <is>
          <t>Strategy</t>
        </is>
      </c>
      <c r="C29" s="8" t="inlineStr">
        <is>
          <t>Behavioral</t>
        </is>
      </c>
      <c r="D29" s="8" t="inlineStr">
        <is>
          <t>D4 Conditional Execution</t>
        </is>
      </c>
      <c r="E29" s="8" t="inlineStr">
        <is>
          <t>Strategy=org.junit.jupiter.api.extension.ExecutionCondition; ConcreteStrategy=org.junit.jupiter.engine.extension.DisabledCondition; Context=org.junit.jupiter.engine.execution.ConditionEvaluator#evaluate; Caller=org.junit.jupiter.engine.descriptor.JupiterTestDescriptor#shouldBeSkipped</t>
        </is>
      </c>
      <c r="F29" s="8" t="inlineStr">
        <is>
          <t>data/code/junit-jupiter-api/src/main/java/org/junit/jupiter/api/extension/ExecutionCondition.java:58-73; data/code/junit-jupiter-engine/src/main/java/org/junit/jupiter/engine/extension/DisabledCondition.java:31-54; data/code/junit-jupiter-engine/src/main/java/org/junit/jupiter/engine/execution/ConditionEvaluator.java:48-59; data/code/junit-jupiter-engine/src/main/java/org/junit/jupiter/engine/descriptor/JupiterTestDescriptor.java:227-232</t>
        </is>
      </c>
      <c r="G29" s="8" t="inlineStr">
        <is>
          <t>Each ExecutionCondition encapsulates an enable/disable policy; ConditionEvaluator applies all of them and the first 'disabled' wins.</t>
        </is>
      </c>
    </row>
    <row r="30">
      <c r="A30" s="8" t="inlineStr">
        <is>
          <t>Original code</t>
        </is>
      </c>
      <c r="B30" s="8" t="inlineStr">
        <is>
          <t>Strategy</t>
        </is>
      </c>
      <c r="C30" s="8" t="inlineStr">
        <is>
          <t>Behavioral</t>
        </is>
      </c>
      <c r="D30" s="8" t="inlineStr">
        <is>
          <t>D5 Store Close Action</t>
        </is>
      </c>
      <c r="E30" s="8" t="inlineStr">
        <is>
          <t>Strategy=org.junit.platform.engine.support.store.NamespacedHierarchicalStore.CloseAction; ConcreteStrategy (lambda)=org.junit.jupiter.engine.descriptor.AbstractExtensionContext#createCloseAction; Context=org.junit.platform.engine.support.store.NamespacedHierarchicalStore#close</t>
        </is>
      </c>
      <c r="F30" s="8" t="inlineStr">
        <is>
          <t>data/code/junit-platform-engine/src/main/java/org/junit/platform/engine/support/store/NamespacedHierarchicalStore.java:734-761; data/code/junit-jupiter-engine/src/main/java/org/junit/jupiter/engine/descriptor/AbstractExtensionContext.java:103-123; data/code/junit-platform-engine/src/main/java/org/junit/platform/engine/support/store/NamespacedHierarchicalStore.java:135-165</t>
        </is>
      </c>
      <c r="G30" s="8" t="inlineStr">
        <is>
          <t>The platform store does not know how to close Jupiter values, so AbstractExtensionContext injects a CloseAction (close AutoCloseable / CloseableResource values).</t>
        </is>
      </c>
    </row>
    <row r="31">
      <c r="A31" s="8" t="inlineStr">
        <is>
          <t>Original code</t>
        </is>
      </c>
      <c r="B31" s="8" t="inlineStr">
        <is>
          <t>Adapter</t>
        </is>
      </c>
      <c r="C31" s="8" t="inlineStr">
        <is>
          <t>Structural</t>
        </is>
      </c>
      <c r="D31" s="8" t="inlineStr">
        <is>
          <t>D6 Extension Store Adapter</t>
        </is>
      </c>
      <c r="E31" s="8" t="inlineStr">
        <is>
          <t>Target=org.junit.jupiter.api.extension.ExtensionContext.Store; Adapter=org.junit.jupiter.engine.execution.NamespaceAwareStore; Adaptee=org.junit.platform.engine.support.store.NamespacedHierarchicalStore; Adapter factory=org.junit.jupiter.engine.execution.LauncherStoreFacade#getStoreAdapter; Client=org.junit.jupiter.engine.descriptor.AbstractExtensionContext#getStore</t>
        </is>
      </c>
      <c r="F31" s="8" t="inlineStr">
        <is>
          <t>data/code/junit-jupiter-api/src/main/java/org/junit/jupiter/api/extension/ExtensionContext.java:526-897; data/code/junit-jupiter-engine/src/main/java/org/junit/jupiter/engine/execution/NamespaceAwareStore.java:31-127; data/code/junit-platform-engine/src/main/java/org/junit/platform/engine/support/store/NamespacedHierarchicalStore.java:56-763; data/code/junit-jupiter-engine/src/main/java/org/junit/jupiter/engine/execution/LauncherStoreFacade.java:46-50; data/code/junit-jupiter-engine/src/main/java/org/junit/jupiter/engine/descriptor/AbstractExtensionContext.java:219-221</t>
        </is>
      </c>
      <c r="G31" s="8" t="inlineStr">
        <is>
          <t>Extensions use the namespace-scoped ExtensionContext.Store; NamespaceAwareStore implements it on top of the platform NamespacedHierarchicalStore, fixing the namespace and translating exceptions.</t>
        </is>
      </c>
    </row>
    <row r="32">
      <c r="A32" s="8" t="inlineStr">
        <is>
          <t>Original code</t>
        </is>
      </c>
      <c r="B32" s="8" t="inlineStr">
        <is>
          <t>Adapter</t>
        </is>
      </c>
      <c r="C32" s="8" t="inlineStr">
        <is>
          <t>Structural</t>
        </is>
      </c>
      <c r="D32" s="8" t="inlineStr">
        <is>
          <t>D7 Lifecycle Method Adapters</t>
        </is>
      </c>
      <c r="E32" s="8" t="inlineStr">
        <is>
          <t>Target=org.junit.jupiter.engine.execution.BeforeEachMethodAdapter; Target=org.junit.jupiter.engine.execution.AfterEachMethodAdapter; Adapter (lambda)=org.junit.jupiter.engine.descriptor.ClassBasedTestDescriptor#synthesizeBeforeEachMethodAdapter; Adapter (lambda)=org.junit.jupiter.engine.descriptor.ClassBasedTestDescriptor#synthesizeAfterEachMethodAdapter; Client=org.junit.jupiter.engine.descriptor.TestMethodTestDescriptor#invokeBeforeEachMethods</t>
        </is>
      </c>
      <c r="F32" s="8" t="inlineStr">
        <is>
          <t>data/code/junit-jupiter-engine/src/main/java/org/junit/jupiter/engine/execution/BeforeEachMethodAdapter.java:29-33; data/code/junit-jupiter-engine/src/main/java/org/junit/jupiter/engine/execution/AfterEachMethodAdapter.java:29-33; data/code/junit-jupiter-engine/src/main/java/org/junit/jupiter/engine/descriptor/ClassBasedTestDescriptor.java:533-536; data/code/junit-jupiter-engine/src/main/java/org/junit/jupiter/engine/descriptor/ClassBasedTestDescriptor.java:538-541; data/code/junit-jupiter-engine/src/main/java/org/junit/jupiter/engine/descriptor/TestMethodTestDescriptor.java:187-197</t>
        </is>
      </c>
      <c r="G32" s="8" t="inlineStr">
        <is>
          <t>A user's @BeforeEach/@AfterEach Method is wrapped as a synthetic extension implementing BeforeEachMethodAdapter/AfterEachMethodAdapter so it runs through the extension ordering. Adapters are lambdas (no named class).</t>
        </is>
      </c>
    </row>
    <row r="33">
      <c r="A33" s="8" t="inlineStr">
        <is>
          <t>Original code</t>
        </is>
      </c>
      <c r="B33" s="8" t="inlineStr">
        <is>
          <t>Observer</t>
        </is>
      </c>
      <c r="C33" s="8" t="inlineStr">
        <is>
          <t>Behavioral</t>
        </is>
      </c>
      <c r="D33" s="8" t="inlineStr">
        <is>
          <t>D8 Test Outcome Watchers</t>
        </is>
      </c>
      <c r="E33" s="8" t="inlineStr">
        <is>
          <t>Observer=org.junit.jupiter.api.extension.TestWatcher; ConcreteObserver=org.junit.jupiter.engine.extension.RepetitionExtension; Subject (notify)=org.junit.jupiter.engine.descriptor.MethodBasedTestDescriptor#invokeTestWatchers; Subject (trigger)=org.junit.jupiter.engine.descriptor.TestMethodTestDescriptor#nodeFinished</t>
        </is>
      </c>
      <c r="F33" s="8" t="inlineStr">
        <is>
          <t>data/code/junit-jupiter-api/src/main/java/org/junit/jupiter/api/extension/TestWatcher.java:70-124; data/code/junit-jupiter-engine/src/main/java/org/junit/jupiter/engine/extension/RepetitionExtension.java:41-78; data/code/junit-jupiter-engine/src/main/java/org/junit/jupiter/engine/descriptor/MethodBasedTestDescriptor.java:166-192; data/code/junit-jupiter-engine/src/main/java/org/junit/jupiter/engine/descriptor/TestMethodTestDescriptor.java:278-291</t>
        </is>
      </c>
      <c r="G33" s="8" t="inlineStr">
        <is>
          <t>TestWatcher extensions are told each test's outcome and cannot change it; their exceptions are only logged.</t>
        </is>
      </c>
    </row>
    <row r="34">
      <c r="A34" s="8" t="inlineStr">
        <is>
          <t>Original code</t>
        </is>
      </c>
      <c r="B34" s="8" t="inlineStr">
        <is>
          <t>Chain of Responsibility</t>
        </is>
      </c>
      <c r="C34" s="8" t="inlineStr">
        <is>
          <t>Behavioral</t>
        </is>
      </c>
      <c r="D34" s="8" t="inlineStr">
        <is>
          <t>D9 Invocation Interceptor Chain</t>
        </is>
      </c>
      <c r="E34" s="8" t="inlineStr">
        <is>
          <t>Handler=org.junit.jupiter.api.extension.InvocationInterceptor; ConcreteHandler=org.junit.jupiter.engine.extension.TimeoutExtension; Chain builder=org.junit.jupiter.engine.execution.InvocationInterceptorChain#chainInterceptors; Link to next handler=org.junit.jupiter.engine.execution.InvocationInterceptorChain.InterceptedInvocation; Client=org.junit.jupiter.engine.execution.InterceptingExecutableInvoker</t>
        </is>
      </c>
      <c r="F34" s="8" t="inlineStr">
        <is>
          <t>data/code/junit-jupiter-api/src/main/java/org/junit/jupiter/api/extension/InvocationInterceptor.java:64-253; data/code/junit-jupiter-engine/src/main/java/org/junit/jupiter/engine/extension/TimeoutExtension.java:36-217; data/code/junit-jupiter-engine/src/main/java/org/junit/jupiter/engine/execution/InvocationInterceptorChain.java:52-62; data/code/junit-jupiter-engine/src/main/java/org/junit/jupiter/engine/execution/InvocationInterceptorChain.java:94-106; data/code/junit-jupiter-engine/src/main/java/org/junit/jupiter/engine/execution/InterceptingExecutableInvoker.java:40-137</t>
        </is>
      </c>
      <c r="G34" s="8" t="inlineStr">
        <is>
          <t>Every test/lifecycle/constructor call passes through a chain of InvocationInterceptors built back to front; each handler can proceed(), skip() or wrap the rest of the chain (interceptor-chain variant).</t>
        </is>
      </c>
    </row>
    <row r="35">
      <c r="A35" s="8" t="inlineStr">
        <is>
          <t>Original code</t>
        </is>
      </c>
      <c r="B35" s="8" t="inlineStr">
        <is>
          <t>Decorator</t>
        </is>
      </c>
      <c r="C35" s="8" t="inlineStr">
        <is>
          <t>Structural</t>
        </is>
      </c>
      <c r="D35" s="8" t="inlineStr">
        <is>
          <t>D10 Timeout Invocation Wrappers</t>
        </is>
      </c>
      <c r="E35" s="8" t="inlineStr">
        <is>
          <t>Component=org.junit.jupiter.api.extension.InvocationInterceptor.Invocation; ConcreteDecorator=org.junit.jupiter.engine.extension.SameThreadTimeoutInvocation; ConcreteDecorator=org.junit.jupiter.engine.extension.SeparateThreadTimeoutInvocation; ConcreteDecorator=org.junit.jupiter.engine.execution.InvocationInterceptorChain.ValidatingInvocation; Client=org.junit.jupiter.engine.extension.TimeoutExtension#decorate</t>
        </is>
      </c>
      <c r="F35" s="8" t="inlineStr">
        <is>
          <t>data/code/junit-jupiter-api/src/main/java/org/junit/jupiter/api/extension/InvocationInterceptor.java:231-251; data/code/junit-jupiter-engine/src/main/java/org/junit/jupiter/engine/extension/SameThreadTimeoutInvocation.java:26-99; data/code/junit-jupiter-engine/src/main/java/org/junit/jupiter/engine/extension/SeparateThreadTimeoutInvocation.java:24-52; data/code/junit-jupiter-engine/src/main/java/org/junit/jupiter/engine/execution/InvocationInterceptorChain.java:108-151; data/code/junit-jupiter-engine/src/main/java/org/junit/jupiter/engine/extension/TimeoutExtension.java:178-190</t>
        </is>
      </c>
      <c r="G35" s="8" t="inlineStr">
        <is>
          <t>TimeoutExtension.decorate wraps the Invocation in a timeout-aware Invocation that keeps the original as delegate and adds timing around delegate.proceed(); ValidatingInvocation adds a call-once check.</t>
        </is>
      </c>
    </row>
    <row r="36">
      <c r="A36" s="8" t="inlineStr">
        <is>
          <t>Original code</t>
        </is>
      </c>
      <c r="B36" s="8" t="inlineStr">
        <is>
          <t>Command</t>
        </is>
      </c>
      <c r="C36" s="8" t="inlineStr">
        <is>
          <t>Behavioral</t>
        </is>
      </c>
      <c r="D36" s="8" t="inlineStr">
        <is>
          <t>D11 Packaged Reflective Calls</t>
        </is>
      </c>
      <c r="E36" s="8" t="inlineStr">
        <is>
          <t>Command=org.junit.jupiter.api.extension.InvocationInterceptor.Invocation; ConcreteCommand=org.junit.jupiter.engine.execution.MethodInvocation; ConcreteCommand=org.junit.jupiter.engine.execution.ConstructorInvocation; Client=org.junit.jupiter.engine.execution.InterceptingExecutableInvoker</t>
        </is>
      </c>
      <c r="F36" s="8" t="inlineStr">
        <is>
          <t>data/code/junit-jupiter-api/src/main/java/org/junit/jupiter/api/extension/InvocationInterceptor.java:231-251; data/code/junit-jupiter-engine/src/main/java/org/junit/jupiter/engine/execution/MethodInvocation.java:25-64; data/code/junit-jupiter-engine/src/main/java/org/junit/jupiter/engine/execution/ConstructorInvocation.java:25-60; data/code/junit-jupiter-engine/src/main/java/org/junit/jupiter/engine/execution/InterceptingExecutableInvoker.java:40-137</t>
        </is>
      </c>
      <c r="G36" s="8" t="inlineStr">
        <is>
          <t>A resolved reflective call (method or constructor + target + arguments) is packaged as an Invocation object so interceptors can run it later, on another thread, or skip it.</t>
        </is>
      </c>
    </row>
    <row r="38">
      <c r="A38" s="5" t="inlineStr">
        <is>
          <t>Source: Part 1 instances at the baseline (generated by data/build_part1_csv.py)</t>
        </is>
      </c>
    </row>
  </sheetData>
  <autoFilter ref="A1:G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25" customWidth="1" min="3" max="3"/>
    <col width="10" customWidth="1" min="4" max="4"/>
  </cols>
  <sheetData>
    <row r="1">
      <c r="A1" s="7" t="inlineStr">
        <is>
          <t>source_version</t>
        </is>
      </c>
      <c r="B1" s="7" t="inlineStr">
        <is>
          <t>summary</t>
        </is>
      </c>
      <c r="C1" s="7" t="inlineStr">
        <is>
          <t>pattern_name</t>
        </is>
      </c>
      <c r="D1" s="7" t="inlineStr">
        <is>
          <t>count</t>
        </is>
      </c>
    </row>
    <row r="2">
      <c r="A2" s="8" t="inlineStr">
        <is>
          <t>Original code</t>
        </is>
      </c>
      <c r="B2" s="8" t="inlineStr">
        <is>
          <t>per_pattern</t>
        </is>
      </c>
      <c r="C2" s="8" t="inlineStr">
        <is>
          <t>Adapter</t>
        </is>
      </c>
      <c r="D2" s="8" t="n">
        <v>5</v>
      </c>
    </row>
    <row r="3">
      <c r="A3" s="8" t="inlineStr">
        <is>
          <t>Original code</t>
        </is>
      </c>
      <c r="B3" s="8" t="inlineStr">
        <is>
          <t>per_pattern</t>
        </is>
      </c>
      <c r="C3" s="8" t="inlineStr">
        <is>
          <t>Chain of Responsibility</t>
        </is>
      </c>
      <c r="D3" s="8" t="n">
        <v>1</v>
      </c>
    </row>
    <row r="4">
      <c r="A4" s="8" t="inlineStr">
        <is>
          <t>Original code</t>
        </is>
      </c>
      <c r="B4" s="8" t="inlineStr">
        <is>
          <t>per_pattern</t>
        </is>
      </c>
      <c r="C4" s="8" t="inlineStr">
        <is>
          <t>Command</t>
        </is>
      </c>
      <c r="D4" s="8" t="n">
        <v>2</v>
      </c>
    </row>
    <row r="5">
      <c r="A5" s="8" t="inlineStr">
        <is>
          <t>Original code</t>
        </is>
      </c>
      <c r="B5" s="8" t="inlineStr">
        <is>
          <t>per_pattern</t>
        </is>
      </c>
      <c r="C5" s="8" t="inlineStr">
        <is>
          <t>Composite</t>
        </is>
      </c>
      <c r="D5" s="8" t="n">
        <v>2</v>
      </c>
    </row>
    <row r="6">
      <c r="A6" s="8" t="inlineStr">
        <is>
          <t>Original code</t>
        </is>
      </c>
      <c r="B6" s="8" t="inlineStr">
        <is>
          <t>per_pattern</t>
        </is>
      </c>
      <c r="C6" s="8" t="inlineStr">
        <is>
          <t>Decorator</t>
        </is>
      </c>
      <c r="D6" s="8" t="n">
        <v>4</v>
      </c>
    </row>
    <row r="7">
      <c r="A7" s="8" t="inlineStr">
        <is>
          <t>Original code</t>
        </is>
      </c>
      <c r="B7" s="8" t="inlineStr">
        <is>
          <t>per_pattern</t>
        </is>
      </c>
      <c r="C7" s="8" t="inlineStr">
        <is>
          <t>Factory Method</t>
        </is>
      </c>
      <c r="D7" s="8" t="n">
        <v>1</v>
      </c>
    </row>
    <row r="8">
      <c r="A8" s="8" t="inlineStr">
        <is>
          <t>Original code</t>
        </is>
      </c>
      <c r="B8" s="8" t="inlineStr">
        <is>
          <t>per_pattern</t>
        </is>
      </c>
      <c r="C8" s="8" t="inlineStr">
        <is>
          <t>Null Object</t>
        </is>
      </c>
      <c r="D8" s="8" t="n">
        <v>2</v>
      </c>
    </row>
    <row r="9">
      <c r="A9" s="8" t="inlineStr">
        <is>
          <t>Original code</t>
        </is>
      </c>
      <c r="B9" s="8" t="inlineStr">
        <is>
          <t>per_pattern</t>
        </is>
      </c>
      <c r="C9" s="8" t="inlineStr">
        <is>
          <t>Observer</t>
        </is>
      </c>
      <c r="D9" s="8" t="n">
        <v>5</v>
      </c>
    </row>
    <row r="10">
      <c r="A10" s="8" t="inlineStr">
        <is>
          <t>Original code</t>
        </is>
      </c>
      <c r="B10" s="8" t="inlineStr">
        <is>
          <t>per_pattern</t>
        </is>
      </c>
      <c r="C10" s="8" t="inlineStr">
        <is>
          <t>Strategy</t>
        </is>
      </c>
      <c r="D10" s="8" t="n">
        <v>10</v>
      </c>
    </row>
    <row r="11">
      <c r="A11" s="8" t="inlineStr">
        <is>
          <t>Original code</t>
        </is>
      </c>
      <c r="B11" s="8" t="inlineStr">
        <is>
          <t>per_pattern</t>
        </is>
      </c>
      <c r="C11" s="8" t="inlineStr">
        <is>
          <t>Template Method</t>
        </is>
      </c>
      <c r="D11" s="8" t="n">
        <v>3</v>
      </c>
    </row>
    <row r="12">
      <c r="A12" s="8" t="inlineStr">
        <is>
          <t>Original code</t>
        </is>
      </c>
      <c r="B12" s="8" t="inlineStr">
        <is>
          <t>total_pattern_types</t>
        </is>
      </c>
      <c r="C12" s="8" t="inlineStr"/>
      <c r="D12" s="8" t="n">
        <v>10</v>
      </c>
    </row>
    <row r="13">
      <c r="A13" s="8" t="inlineStr">
        <is>
          <t>Original code</t>
        </is>
      </c>
      <c r="B13" s="8" t="inlineStr">
        <is>
          <t>total_pattern_instances</t>
        </is>
      </c>
      <c r="C13" s="8" t="inlineStr"/>
      <c r="D13" s="8" t="n">
        <v>35</v>
      </c>
    </row>
    <row r="14">
      <c r="A14" s="8" t="inlineStr">
        <is>
          <t>Code after Change3</t>
        </is>
      </c>
      <c r="B14" s="8" t="inlineStr">
        <is>
          <t>per_pattern</t>
        </is>
      </c>
      <c r="C14" s="8" t="inlineStr">
        <is>
          <t>Adapter</t>
        </is>
      </c>
      <c r="D14" s="8" t="n">
        <v>5</v>
      </c>
    </row>
    <row r="15">
      <c r="A15" s="8" t="inlineStr">
        <is>
          <t>Code after Change3</t>
        </is>
      </c>
      <c r="B15" s="8" t="inlineStr">
        <is>
          <t>per_pattern</t>
        </is>
      </c>
      <c r="C15" s="8" t="inlineStr">
        <is>
          <t>Chain of Responsibility</t>
        </is>
      </c>
      <c r="D15" s="8" t="n">
        <v>1</v>
      </c>
    </row>
    <row r="16">
      <c r="A16" s="8" t="inlineStr">
        <is>
          <t>Code after Change3</t>
        </is>
      </c>
      <c r="B16" s="8" t="inlineStr">
        <is>
          <t>per_pattern</t>
        </is>
      </c>
      <c r="C16" s="8" t="inlineStr">
        <is>
          <t>Command</t>
        </is>
      </c>
      <c r="D16" s="8" t="n">
        <v>2</v>
      </c>
    </row>
    <row r="17">
      <c r="A17" s="8" t="inlineStr">
        <is>
          <t>Code after Change3</t>
        </is>
      </c>
      <c r="B17" s="8" t="inlineStr">
        <is>
          <t>per_pattern</t>
        </is>
      </c>
      <c r="C17" s="8" t="inlineStr">
        <is>
          <t>Composite</t>
        </is>
      </c>
      <c r="D17" s="8" t="n">
        <v>2</v>
      </c>
    </row>
    <row r="18">
      <c r="A18" s="8" t="inlineStr">
        <is>
          <t>Code after Change3</t>
        </is>
      </c>
      <c r="B18" s="8" t="inlineStr">
        <is>
          <t>per_pattern</t>
        </is>
      </c>
      <c r="C18" s="8" t="inlineStr">
        <is>
          <t>Decorator</t>
        </is>
      </c>
      <c r="D18" s="8" t="n">
        <v>4</v>
      </c>
    </row>
    <row r="19">
      <c r="A19" s="8" t="inlineStr">
        <is>
          <t>Code after Change3</t>
        </is>
      </c>
      <c r="B19" s="8" t="inlineStr">
        <is>
          <t>per_pattern</t>
        </is>
      </c>
      <c r="C19" s="8" t="inlineStr">
        <is>
          <t>Factory Method</t>
        </is>
      </c>
      <c r="D19" s="8" t="n">
        <v>1</v>
      </c>
    </row>
    <row r="20">
      <c r="A20" s="8" t="inlineStr">
        <is>
          <t>Code after Change3</t>
        </is>
      </c>
      <c r="B20" s="8" t="inlineStr">
        <is>
          <t>per_pattern</t>
        </is>
      </c>
      <c r="C20" s="8" t="inlineStr">
        <is>
          <t>Null Object</t>
        </is>
      </c>
      <c r="D20" s="8" t="n">
        <v>2</v>
      </c>
    </row>
    <row r="21">
      <c r="A21" s="8" t="inlineStr">
        <is>
          <t>Code after Change3</t>
        </is>
      </c>
      <c r="B21" s="8" t="inlineStr">
        <is>
          <t>per_pattern</t>
        </is>
      </c>
      <c r="C21" s="8" t="inlineStr">
        <is>
          <t>Observer</t>
        </is>
      </c>
      <c r="D21" s="8" t="n">
        <v>5</v>
      </c>
    </row>
    <row r="22">
      <c r="A22" s="8" t="inlineStr">
        <is>
          <t>Code after Change3</t>
        </is>
      </c>
      <c r="B22" s="8" t="inlineStr">
        <is>
          <t>per_pattern</t>
        </is>
      </c>
      <c r="C22" s="8" t="inlineStr">
        <is>
          <t>Strategy</t>
        </is>
      </c>
      <c r="D22" s="8" t="n">
        <v>10</v>
      </c>
    </row>
    <row r="23">
      <c r="A23" s="8" t="inlineStr">
        <is>
          <t>Code after Change3</t>
        </is>
      </c>
      <c r="B23" s="8" t="inlineStr">
        <is>
          <t>per_pattern</t>
        </is>
      </c>
      <c r="C23" s="8" t="inlineStr">
        <is>
          <t>Template Method</t>
        </is>
      </c>
      <c r="D23" s="8" t="n">
        <v>3</v>
      </c>
    </row>
    <row r="24">
      <c r="A24" s="8" t="inlineStr">
        <is>
          <t>Code after Change3</t>
        </is>
      </c>
      <c r="B24" s="8" t="inlineStr">
        <is>
          <t>total_pattern_types</t>
        </is>
      </c>
      <c r="C24" s="8" t="inlineStr"/>
      <c r="D24" s="8" t="n">
        <v>10</v>
      </c>
    </row>
    <row r="25">
      <c r="A25" s="8" t="inlineStr">
        <is>
          <t>Code after Change3</t>
        </is>
      </c>
      <c r="B25" s="8" t="inlineStr">
        <is>
          <t>total_pattern_instances</t>
        </is>
      </c>
      <c r="C25" s="8" t="inlineStr"/>
      <c r="D25" s="8" t="n">
        <v>35</v>
      </c>
    </row>
    <row r="26">
      <c r="A26" s="8" t="inlineStr">
        <is>
          <t>Code after Change1</t>
        </is>
      </c>
      <c r="B26" s="8" t="inlineStr">
        <is>
          <t>per_pattern</t>
        </is>
      </c>
      <c r="C26" s="8" t="inlineStr">
        <is>
          <t>Adapter</t>
        </is>
      </c>
      <c r="D26" s="8" t="n">
        <v>5</v>
      </c>
    </row>
    <row r="27">
      <c r="A27" s="8" t="inlineStr">
        <is>
          <t>Code after Change1</t>
        </is>
      </c>
      <c r="B27" s="8" t="inlineStr">
        <is>
          <t>per_pattern</t>
        </is>
      </c>
      <c r="C27" s="8" t="inlineStr">
        <is>
          <t>Chain of Responsibility</t>
        </is>
      </c>
      <c r="D27" s="8" t="n">
        <v>1</v>
      </c>
    </row>
    <row r="28">
      <c r="A28" s="8" t="inlineStr">
        <is>
          <t>Code after Change1</t>
        </is>
      </c>
      <c r="B28" s="8" t="inlineStr">
        <is>
          <t>per_pattern</t>
        </is>
      </c>
      <c r="C28" s="8" t="inlineStr">
        <is>
          <t>Command</t>
        </is>
      </c>
      <c r="D28" s="8" t="n">
        <v>2</v>
      </c>
    </row>
    <row r="29">
      <c r="A29" s="8" t="inlineStr">
        <is>
          <t>Code after Change1</t>
        </is>
      </c>
      <c r="B29" s="8" t="inlineStr">
        <is>
          <t>per_pattern</t>
        </is>
      </c>
      <c r="C29" s="8" t="inlineStr">
        <is>
          <t>Composite</t>
        </is>
      </c>
      <c r="D29" s="8" t="n">
        <v>2</v>
      </c>
    </row>
    <row r="30">
      <c r="A30" s="8" t="inlineStr">
        <is>
          <t>Code after Change1</t>
        </is>
      </c>
      <c r="B30" s="8" t="inlineStr">
        <is>
          <t>per_pattern</t>
        </is>
      </c>
      <c r="C30" s="8" t="inlineStr">
        <is>
          <t>Decorator</t>
        </is>
      </c>
      <c r="D30" s="8" t="n">
        <v>4</v>
      </c>
    </row>
    <row r="31">
      <c r="A31" s="8" t="inlineStr">
        <is>
          <t>Code after Change1</t>
        </is>
      </c>
      <c r="B31" s="8" t="inlineStr">
        <is>
          <t>per_pattern</t>
        </is>
      </c>
      <c r="C31" s="8" t="inlineStr">
        <is>
          <t>Factory Method</t>
        </is>
      </c>
      <c r="D31" s="8" t="n">
        <v>1</v>
      </c>
    </row>
    <row r="32">
      <c r="A32" s="8" t="inlineStr">
        <is>
          <t>Code after Change1</t>
        </is>
      </c>
      <c r="B32" s="8" t="inlineStr">
        <is>
          <t>per_pattern</t>
        </is>
      </c>
      <c r="C32" s="8" t="inlineStr">
        <is>
          <t>Null Object</t>
        </is>
      </c>
      <c r="D32" s="8" t="n">
        <v>2</v>
      </c>
    </row>
    <row r="33">
      <c r="A33" s="8" t="inlineStr">
        <is>
          <t>Code after Change1</t>
        </is>
      </c>
      <c r="B33" s="8" t="inlineStr">
        <is>
          <t>per_pattern</t>
        </is>
      </c>
      <c r="C33" s="8" t="inlineStr">
        <is>
          <t>Observer</t>
        </is>
      </c>
      <c r="D33" s="8" t="n">
        <v>5</v>
      </c>
    </row>
    <row r="34">
      <c r="A34" s="8" t="inlineStr">
        <is>
          <t>Code after Change1</t>
        </is>
      </c>
      <c r="B34" s="8" t="inlineStr">
        <is>
          <t>per_pattern</t>
        </is>
      </c>
      <c r="C34" s="8" t="inlineStr">
        <is>
          <t>Strategy</t>
        </is>
      </c>
      <c r="D34" s="8" t="n">
        <v>10</v>
      </c>
    </row>
    <row r="35">
      <c r="A35" s="8" t="inlineStr">
        <is>
          <t>Code after Change1</t>
        </is>
      </c>
      <c r="B35" s="8" t="inlineStr">
        <is>
          <t>per_pattern</t>
        </is>
      </c>
      <c r="C35" s="8" t="inlineStr">
        <is>
          <t>Template Method</t>
        </is>
      </c>
      <c r="D35" s="8" t="n">
        <v>3</v>
      </c>
    </row>
    <row r="36">
      <c r="A36" s="8" t="inlineStr">
        <is>
          <t>Code after Change1</t>
        </is>
      </c>
      <c r="B36" s="8" t="inlineStr">
        <is>
          <t>total_pattern_types</t>
        </is>
      </c>
      <c r="C36" s="8" t="inlineStr"/>
      <c r="D36" s="8" t="n">
        <v>10</v>
      </c>
    </row>
    <row r="37">
      <c r="A37" s="8" t="inlineStr">
        <is>
          <t>Code after Change1</t>
        </is>
      </c>
      <c r="B37" s="8" t="inlineStr">
        <is>
          <t>total_pattern_instances</t>
        </is>
      </c>
      <c r="C37" s="8" t="inlineStr"/>
      <c r="D37" s="8" t="n">
        <v>35</v>
      </c>
    </row>
    <row r="38">
      <c r="A38" s="8" t="inlineStr">
        <is>
          <t>Code after Change2</t>
        </is>
      </c>
      <c r="B38" s="8" t="inlineStr">
        <is>
          <t>per_pattern</t>
        </is>
      </c>
      <c r="C38" s="8" t="inlineStr">
        <is>
          <t>Adapter</t>
        </is>
      </c>
      <c r="D38" s="8" t="n">
        <v>6</v>
      </c>
    </row>
    <row r="39">
      <c r="A39" s="8" t="inlineStr">
        <is>
          <t>Code after Change2</t>
        </is>
      </c>
      <c r="B39" s="8" t="inlineStr">
        <is>
          <t>per_pattern</t>
        </is>
      </c>
      <c r="C39" s="8" t="inlineStr">
        <is>
          <t>Chain of Responsibility</t>
        </is>
      </c>
      <c r="D39" s="8" t="n">
        <v>1</v>
      </c>
    </row>
    <row r="40">
      <c r="A40" s="8" t="inlineStr">
        <is>
          <t>Code after Change2</t>
        </is>
      </c>
      <c r="B40" s="8" t="inlineStr">
        <is>
          <t>per_pattern</t>
        </is>
      </c>
      <c r="C40" s="8" t="inlineStr">
        <is>
          <t>Command</t>
        </is>
      </c>
      <c r="D40" s="8" t="n">
        <v>2</v>
      </c>
    </row>
    <row r="41">
      <c r="A41" s="8" t="inlineStr">
        <is>
          <t>Code after Change2</t>
        </is>
      </c>
      <c r="B41" s="8" t="inlineStr">
        <is>
          <t>per_pattern</t>
        </is>
      </c>
      <c r="C41" s="8" t="inlineStr">
        <is>
          <t>Composite</t>
        </is>
      </c>
      <c r="D41" s="8" t="n">
        <v>2</v>
      </c>
    </row>
    <row r="42">
      <c r="A42" s="8" t="inlineStr">
        <is>
          <t>Code after Change2</t>
        </is>
      </c>
      <c r="B42" s="8" t="inlineStr">
        <is>
          <t>per_pattern</t>
        </is>
      </c>
      <c r="C42" s="8" t="inlineStr">
        <is>
          <t>Decorator</t>
        </is>
      </c>
      <c r="D42" s="8" t="n">
        <v>4</v>
      </c>
    </row>
    <row r="43">
      <c r="A43" s="8" t="inlineStr">
        <is>
          <t>Code after Change2</t>
        </is>
      </c>
      <c r="B43" s="8" t="inlineStr">
        <is>
          <t>per_pattern</t>
        </is>
      </c>
      <c r="C43" s="8" t="inlineStr">
        <is>
          <t>Factory Method</t>
        </is>
      </c>
      <c r="D43" s="8" t="n">
        <v>1</v>
      </c>
    </row>
    <row r="44">
      <c r="A44" s="8" t="inlineStr">
        <is>
          <t>Code after Change2</t>
        </is>
      </c>
      <c r="B44" s="8" t="inlineStr">
        <is>
          <t>per_pattern</t>
        </is>
      </c>
      <c r="C44" s="8" t="inlineStr">
        <is>
          <t>Null Object</t>
        </is>
      </c>
      <c r="D44" s="8" t="n">
        <v>2</v>
      </c>
    </row>
    <row r="45">
      <c r="A45" s="8" t="inlineStr">
        <is>
          <t>Code after Change2</t>
        </is>
      </c>
      <c r="B45" s="8" t="inlineStr">
        <is>
          <t>per_pattern</t>
        </is>
      </c>
      <c r="C45" s="8" t="inlineStr">
        <is>
          <t>Observer</t>
        </is>
      </c>
      <c r="D45" s="8" t="n">
        <v>5</v>
      </c>
    </row>
    <row r="46">
      <c r="A46" s="8" t="inlineStr">
        <is>
          <t>Code after Change2</t>
        </is>
      </c>
      <c r="B46" s="8" t="inlineStr">
        <is>
          <t>per_pattern</t>
        </is>
      </c>
      <c r="C46" s="8" t="inlineStr">
        <is>
          <t>Strategy</t>
        </is>
      </c>
      <c r="D46" s="8" t="n">
        <v>11</v>
      </c>
    </row>
    <row r="47">
      <c r="A47" s="8" t="inlineStr">
        <is>
          <t>Code after Change2</t>
        </is>
      </c>
      <c r="B47" s="8" t="inlineStr">
        <is>
          <t>per_pattern</t>
        </is>
      </c>
      <c r="C47" s="8" t="inlineStr">
        <is>
          <t>Template Method</t>
        </is>
      </c>
      <c r="D47" s="8" t="n">
        <v>3</v>
      </c>
    </row>
    <row r="48">
      <c r="A48" s="8" t="inlineStr">
        <is>
          <t>Code after Change2</t>
        </is>
      </c>
      <c r="B48" s="8" t="inlineStr">
        <is>
          <t>total_pattern_types</t>
        </is>
      </c>
      <c r="C48" s="8" t="inlineStr"/>
      <c r="D48" s="8" t="n">
        <v>10</v>
      </c>
    </row>
    <row r="49">
      <c r="A49" s="8" t="inlineStr">
        <is>
          <t>Code after Change2</t>
        </is>
      </c>
      <c r="B49" s="8" t="inlineStr">
        <is>
          <t>total_pattern_instances</t>
        </is>
      </c>
      <c r="C49" s="8" t="inlineStr"/>
      <c r="D49" s="8" t="n">
        <v>37</v>
      </c>
    </row>
    <row r="51">
      <c r="A51" s="5" t="inlineStr">
        <is>
          <t>Source: Counts per source version (data/build_part2_csv.py)</t>
        </is>
      </c>
    </row>
  </sheetData>
  <autoFilter ref="A1:D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5"/>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4" customWidth="1" min="3" max="3"/>
    <col width="43" customWidth="1" min="4" max="4"/>
    <col width="60" customWidth="1" min="5" max="5"/>
    <col width="60" customWidth="1" min="6" max="6"/>
    <col width="60" customWidth="1" min="7" max="7"/>
    <col width="21" customWidth="1" min="8" max="8"/>
    <col width="60" customWidth="1" min="9" max="9"/>
  </cols>
  <sheetData>
    <row r="1">
      <c r="A1" s="7" t="inlineStr">
        <is>
          <t>source_version</t>
        </is>
      </c>
      <c r="B1" s="7" t="inlineStr">
        <is>
          <t>pattern_name</t>
        </is>
      </c>
      <c r="C1" s="7" t="inlineStr">
        <is>
          <t>pattern_type</t>
        </is>
      </c>
      <c r="D1" s="7" t="inlineStr">
        <is>
          <t>instance_name</t>
        </is>
      </c>
      <c r="E1" s="7" t="inlineStr">
        <is>
          <t>participant_roles</t>
        </is>
      </c>
      <c r="F1" s="7" t="inlineStr">
        <is>
          <t>source_locations</t>
        </is>
      </c>
      <c r="G1" s="7" t="inlineStr">
        <is>
          <t>intent_and_evidence</t>
        </is>
      </c>
      <c r="H1" s="7" t="inlineStr">
        <is>
          <t>status_after_change</t>
        </is>
      </c>
      <c r="I1" s="7" t="inlineStr">
        <is>
          <t>change_description</t>
        </is>
      </c>
    </row>
    <row r="2">
      <c r="A2" s="8" t="inlineStr">
        <is>
          <t>Original code</t>
        </is>
      </c>
      <c r="B2" s="8" t="inlineStr">
        <is>
          <t>Composite</t>
        </is>
      </c>
      <c r="C2" s="8" t="inlineStr">
        <is>
          <t>Structural</t>
        </is>
      </c>
      <c r="D2" s="8" t="inlineStr">
        <is>
          <t>A1 Test Descriptor Tree</t>
        </is>
      </c>
      <c r="E2" s="8" t="inlineStr">
        <is>
          <t>Component=org.junit.platform.engine.TestDescriptor; Composite (base)=org.junit.platform.engine.support.descriptor.AbstractTestDescriptor; Composite=org.junit.platform.engine.support.descriptor.EngineDescriptor; Composite=org.junit.jupiter.engine.descriptor.JupiterEngineDescriptor; Composite=org.junit.jupiter.engine.descriptor.ClassTestDescriptor; Composite=org.junit.jupiter.engine.descriptor.NestedClassTestDescriptor; Composite=org.junit.jupiter.engine.descriptor.ClassTemplateTestDescriptor; Composite=org.junit.jupiter.engine.descriptor.ClassTemplateInvocationTestDescriptor; Composite=org.junit.jupiter.engine.descriptor.TestTemplateTestDescriptor; Composite=org.junit.jupiter.engine.descriptor.TestFactoryTestDescriptor; Composite=org.junit.jupiter.engine.descriptor.DynamicContainerTestDescriptor; Leaf=org.junit.jupiter.engine.descriptor.TestMethodTestDescriptor; Leaf=org.junit.jupiter.engine.descriptor.TestTemplateInvocationTestDescriptor; Leaf=org.junit.jupiter.engine.descriptor.DynamicTestTestDescriptor; Client=org.junit.platform.launcher.core.EngineDiscoveryOrchestrator#applyPostDiscoveryFilters; Client=org.junit.platform.engine.support.hierarchical.NodeTestTask#executeRecursively</t>
        </is>
      </c>
      <c r="F2" s="8" t="inlineStr">
        <is>
          <t>data/code/junit-platform-engine/src/main/java/org/junit/platform/engine/TestDescriptor.java:37-427; data/code/junit-platform-engine/src/main/java/org/junit/platform/engine/support/descriptor/AbstractTestDescriptor.java:42-248; data/code/junit-platform-engine/src/main/java/org/junit/platform/engine/support/descriptor/EngineDescriptor.java:25-53; data/code/junit-jupiter-engine/src/main/java/org/junit/jupiter/engine/descriptor/JupiterEngineDescriptor.java:30-70; data/code/junit-jupiter-engine/src/main/java/org/junit/jupiter/engine/descriptor/ClassTestDescriptor.java:47-106; data/code/junit-jupiter-engine/src/main/java/org/junit/jupiter/engine/descriptor/NestedClassTestDescriptor.java:49-121; data/code/junit-jupiter-engine/src/main/java/org/junit/jupiter/engine/descriptor/ClassTemplateTestDescriptor.java:51-277; data/code/junit-jupiter-engine/src/main/java/org/junit/jupiter/engine/descriptor/ClassTemplateInvocationTestDescriptor.java:48-202; data/code/junit-jupiter-engine/src/main/java/org/junit/jupiter/engine/descriptor/TestTemplateTestDescriptor.java:41-167; data/code/junit-jupiter-engine/src/main/java/org/junit/jupiter/engine/descriptor/TestFactoryTestDescriptor.java:56-223; data/code/junit-jupiter-engine/src/main/java/org/junit/jupiter/engine/descriptor/DynamicContainerTestDescriptor.java:34-88; data/code/junit-jupiter-engine/src/main/java/org/junit/jupiter/engine/descriptor/TestMethodTestDescriptor.java:71-293; data/code/junit-jupiter-engine/src/main/java/org/junit/jupiter/engine/descriptor/TestTemplateInvocationTestDescriptor.java:42-104; data/code/junit-jupiter-engine/src/main/java/org/junit/jupiter/engine/descriptor/DynamicTestTestDescriptor.java:37-100; data/code/junit-platform-launcher/src/main/java/org/junit/platform/launcher/core/EngineDiscoveryOrchestrator.java:225-238; data/code/junit-platform-engine/src/main/java/org/junit/platform/engine/support/hierarchical/NodeTestTask.java:157-189</t>
        </is>
      </c>
      <c r="G2" s="8" t="inlineStr">
        <is>
          <t>Engines build one tree of TestDescriptor nodes (engine &gt; class &gt; nested class &gt; method &gt; dynamic test); the launcher filters, prunes, visits and executes it without knowing node kinds. Evidence: TestDescriptor.accept visits itself then calls child.accept(visitor); AbstractTestDescriptor holds the children set and findByUniqueId recurses; NodeTestTask creates one child task per child. Transparent variant: leaf vs container is decided by getType().</t>
        </is>
      </c>
      <c r="H2" s="8" t="inlineStr">
        <is>
          <t>baseline</t>
        </is>
      </c>
      <c r="I2" s="8" t="inlineStr">
        <is>
          <t>Instance as found in the original code (Part 1).</t>
        </is>
      </c>
    </row>
    <row r="3">
      <c r="A3" s="8" t="inlineStr">
        <is>
          <t>Original code</t>
        </is>
      </c>
      <c r="B3" s="8" t="inlineStr">
        <is>
          <t>Composite</t>
        </is>
      </c>
      <c r="C3" s="8" t="inlineStr">
        <is>
          <t>Structural</t>
        </is>
      </c>
      <c r="D3" s="8" t="inlineStr">
        <is>
          <t>A2 Composed Discovery Filter</t>
        </is>
      </c>
      <c r="E3" s="8" t="inlineStr">
        <is>
          <t>Component=org.junit.platform.engine.Filter; Composite=org.junit.platform.engine.CompositeFilter; Leaf=org.junit.platform.launcher.IncludeMethodFilter; Leaf=org.junit.platform.launcher.ExcludeMethodFilter; Leaf (lambda factory)=org.junit.platform.launcher.TagFilter; Client=org.junit.platform.launcher.core.EngineDiscoveryOrchestrator#applyPostDiscoveryFilters</t>
        </is>
      </c>
      <c r="F3" s="8" t="inlineStr">
        <is>
          <t>data/code/junit-platform-engine/src/main/java/org/junit/platform/engine/Filter.java:41-119; data/code/junit-platform-engine/src/main/java/org/junit/platform/engine/CompositeFilter.java:29-89; data/code/junit-platform-launcher/src/main/java/org/junit/platform/launcher/IncludeMethodFilter.java:31-58; data/code/junit-platform-launcher/src/main/java/org/junit/platform/launcher/ExcludeMethodFilter.java:31-58; data/code/junit-platform-launcher/src/main/java/org/junit/platform/launcher/TagFilter.java:48-184; data/code/junit-platform-launcher/src/main/java/org/junit/platform/launcher/core/EngineDiscoveryOrchestrator.java:225-238</t>
        </is>
      </c>
      <c r="G3" s="8" t="inlineStr">
        <is>
          <t>All post-discovery filters are merged into one Filter by Filter.composeFilters; CompositeFilter implements Filter, holds a list of Filters and combines their FilterResults into one answer (first exclusion wins). Overlaps A3 (same leaf classes seen as strategies).</t>
        </is>
      </c>
      <c r="H3" s="8" t="inlineStr">
        <is>
          <t>baseline</t>
        </is>
      </c>
      <c r="I3" s="8" t="inlineStr">
        <is>
          <t>Instance as found in the original code (Part 1).</t>
        </is>
      </c>
    </row>
    <row r="4">
      <c r="A4" s="8" t="inlineStr">
        <is>
          <t>Original code</t>
        </is>
      </c>
      <c r="B4" s="8" t="inlineStr">
        <is>
          <t>Strategy</t>
        </is>
      </c>
      <c r="C4" s="8" t="inlineStr">
        <is>
          <t>Behavioral</t>
        </is>
      </c>
      <c r="D4" s="8" t="inlineStr">
        <is>
          <t>A3 Post-Discovery Filter Policies</t>
        </is>
      </c>
      <c r="E4" s="8" t="inlineStr">
        <is>
          <t>Strategy=org.junit.platform.launcher.PostDiscoveryFilter; ConcreteStrategy=org.junit.platform.launcher.IncludeMethodFilter; ConcreteStrategy=org.junit.platform.launcher.ExcludeMethodFilter; ConcreteStrategy (lambdas)=org.junit.platform.launcher.TagFilter; Context=org.junit.platform.launcher.core.EngineDiscoveryOrchestrator#applyPostDiscoveryFilters</t>
        </is>
      </c>
      <c r="F4" s="8" t="inlineStr">
        <is>
          <t>data/code/junit-platform-launcher/src/main/java/org/junit/platform/launcher/PostDiscoveryFilter.java:35-36; data/code/junit-platform-launcher/src/main/java/org/junit/platform/launcher/IncludeMethodFilter.java:31-58; data/code/junit-platform-launcher/src/main/java/org/junit/platform/launcher/ExcludeMethodFilter.java:31-58; data/code/junit-platform-launcher/src/main/java/org/junit/platform/launcher/TagFilter.java:48-184; data/code/junit-platform-launcher/src/main/java/org/junit/platform/launcher/core/EngineDiscoveryOrchestrator.java:225-238</t>
        </is>
      </c>
      <c r="G4" s="8" t="inlineStr">
        <is>
          <t>Selection rules (tag expressions, method-name patterns, custom filters) are interchangeable algorithms behind PostDiscoveryFilter; EngineDiscoveryOrchestrator only calls apply(). Overlaps A2.</t>
        </is>
      </c>
      <c r="H4" s="8" t="inlineStr">
        <is>
          <t>baseline</t>
        </is>
      </c>
      <c r="I4" s="8" t="inlineStr">
        <is>
          <t>Instance as found in the original code (Part 1).</t>
        </is>
      </c>
    </row>
    <row r="5">
      <c r="A5" s="8" t="inlineStr">
        <is>
          <t>Original code</t>
        </is>
      </c>
      <c r="B5" s="8" t="inlineStr">
        <is>
          <t>Template Method</t>
        </is>
      </c>
      <c r="C5" s="8" t="inlineStr">
        <is>
          <t>Behavioral</t>
        </is>
      </c>
      <c r="D5" s="8" t="inlineStr">
        <is>
          <t>A4 Jupiter Descriptor Skeletons</t>
        </is>
      </c>
      <c r="E5" s="8" t="inlineStr">
        <is>
          <t>AbstractClass=org.junit.jupiter.engine.descriptor.JupiterTestDescriptor; TemplateMethod=org.junit.jupiter.engine.descriptor.JupiterTestDescriptor#getExecutionMode; TemplateMethod=org.junit.jupiter.engine.descriptor.JupiterTestDescriptor#getLegacyReportingName; TemplateMethod=org.junit.jupiter.engine.descriptor.JupiterTestDescriptor#copyIncludingDescendants; PrimitiveOperation=org.junit.jupiter.engine.descriptor.JupiterTestDescriptor#withUniqueId; ConcreteClass (hook)=org.junit.jupiter.engine.descriptor.ClassBasedTestDescriptor#getExplicitExecutionMode; ConcreteClass (hook)=org.junit.jupiter.engine.descriptor.MethodBasedTestDescriptor#getExplicitExecutionMode; ConcreteClass (primitive)=org.junit.jupiter.engine.descriptor.ClassTestDescriptor#withUniqueId</t>
        </is>
      </c>
      <c r="F5" s="8" t="inlineStr">
        <is>
          <t>data/code/junit-jupiter-engine/src/main/java/org/junit/jupiter/engine/descriptor/JupiterTestDescriptor.java:64-283; data/code/junit-jupiter-engine/src/main/java/org/junit/jupiter/engine/descriptor/JupiterTestDescriptor.java:163-167; data/code/junit-jupiter-engine/src/main/java/org/junit/jupiter/engine/descriptor/JupiterTestDescriptor.java:85-88; data/code/junit-jupiter-engine/src/main/java/org/junit/jupiter/engine/descriptor/JupiterTestDescriptor.java:256-263; data/code/junit-jupiter-engine/src/main/java/org/junit/jupiter/engine/descriptor/JupiterTestDescriptor.java:268-268; data/code/junit-jupiter-engine/src/main/java/org/junit/jupiter/engine/descriptor/ClassBasedTestDescriptor.java:167-169; data/code/junit-jupiter-engine/src/main/java/org/junit/jupiter/engine/descriptor/MethodBasedTestDescriptor.java:147-149; data/code/junit-jupiter-engine/src/main/java/org/junit/jupiter/engine/descriptor/ClassTestDescriptor.java:63-66</t>
        </is>
      </c>
      <c r="G5" s="8" t="inlineStr">
        <is>
          <t>JupiterTestDescriptor fixes algorithms in final methods (getExecutionMode, getLegacyReportingName) and in copyIncludingDescendants, which calls the abstract primitive withUniqueId; subclasses override the hooks (getExplicitExecutionMode, getLegacyReportingBaseName, withUniqueId).</t>
        </is>
      </c>
      <c r="H5" s="8" t="inlineStr">
        <is>
          <t>baseline</t>
        </is>
      </c>
      <c r="I5" s="8" t="inlineStr">
        <is>
          <t>Instance as found in the original code (Part 1).</t>
        </is>
      </c>
    </row>
    <row r="6">
      <c r="A6" s="8" t="inlineStr">
        <is>
          <t>Original code</t>
        </is>
      </c>
      <c r="B6" s="8" t="inlineStr">
        <is>
          <t>Template Method</t>
        </is>
      </c>
      <c r="C6" s="8" t="inlineStr">
        <is>
          <t>Behavioral</t>
        </is>
      </c>
      <c r="D6" s="8" t="inlineStr">
        <is>
          <t>A5 Child Ordering Skeleton</t>
        </is>
      </c>
      <c r="E6" s="8" t="inlineStr">
        <is>
          <t>AbstractClass=org.junit.jupiter.engine.discovery.AbstractOrderingVisitor; TemplateMethod=org.junit.jupiter.engine.discovery.AbstractOrderingVisitor#orderChildrenTestDescriptors; PrimitiveOperation=org.junit.jupiter.engine.discovery.AbstractOrderingVisitor#shouldNonMatchingDescriptorsComeBeforeOrderedOnes; ConcreteClass=org.junit.jupiter.engine.discovery.ClassOrderingVisitor; ConcreteClass=org.junit.jupiter.engine.discovery.MethodOrderingVisitor</t>
        </is>
      </c>
      <c r="F6" s="8" t="inlineStr">
        <is>
          <t>data/code/junit-jupiter-engine/src/main/java/org/junit/jupiter/engine/discovery/AbstractOrderingVisitor.java:39-222; data/code/junit-jupiter-engine/src/main/java/org/junit/jupiter/engine/discovery/AbstractOrderingVisitor.java:72-119; data/code/junit-jupiter-engine/src/main/java/org/junit/jupiter/engine/discovery/AbstractOrderingVisitor.java:126-126; data/code/junit-jupiter-engine/src/main/java/org/junit/jupiter/engine/discovery/ClassOrderingVisitor.java:38-165; data/code/junit-jupiter-engine/src/main/java/org/junit/jupiter/engine/discovery/MethodOrderingVisitor.java:41-174</t>
        </is>
      </c>
      <c r="G6" s="8" t="inlineStr">
        <is>
          <t>AbstractOrderingVisitor.orderChildrenTestDescriptors runs a fixed ordering algorithm (select, wrap, sort, unwrap, merge) and asks the abstract hook shouldNonMatchingDescriptorsComeBeforeOrderedOnes, which ClassOrderingVisitor and MethodOrderingVisitor answer differently.</t>
        </is>
      </c>
      <c r="H6" s="8" t="inlineStr">
        <is>
          <t>baseline</t>
        </is>
      </c>
      <c r="I6" s="8" t="inlineStr">
        <is>
          <t>Instance as found in the original code (Part 1).</t>
        </is>
      </c>
    </row>
    <row r="7">
      <c r="A7" s="8" t="inlineStr">
        <is>
          <t>Original code</t>
        </is>
      </c>
      <c r="B7" s="8" t="inlineStr">
        <is>
          <t>Observer</t>
        </is>
      </c>
      <c r="C7" s="8" t="inlineStr">
        <is>
          <t>Behavioral</t>
        </is>
      </c>
      <c r="D7" s="8" t="inlineStr">
        <is>
          <t>A6 Discovery Event Notification</t>
        </is>
      </c>
      <c r="E7" s="8" t="inlineStr">
        <is>
          <t>Observer=org.junit.platform.launcher.LauncherDiscoveryListener; Observer (base)=org.junit.platform.engine.EngineDiscoveryListener; ConcreteObserver=org.junit.platform.launcher.core.DiscoveryIssueCollector; ConcreteObserver=org.junit.platform.launcher.core.DiscoveryIssueReportingDiscoveryListener; Subject (attach)=org.junit.platform.launcher.core.DefaultLauncher#registerLauncherDiscoveryListeners; Subject (notify)=org.junit.platform.launcher.core.EngineDiscoveryOrchestrator#discoverEngineRoot; Subject (notify, in engine)=org.junit.platform.engine.support.discovery.EngineDiscoveryRequestResolution; Multicaster=org.junit.platform.launcher.listeners.discovery.CompositeLauncherDiscoveryListener</t>
        </is>
      </c>
      <c r="F7" s="8" t="inlineStr">
        <is>
          <t>data/code/junit-platform-launcher/src/main/java/org/junit/platform/launcher/LauncherDiscoveryListener.java:42-91; data/code/junit-platform-engine/src/main/java/org/junit/platform/engine/EngineDiscoveryListener.java:31-67; data/code/junit-platform-launcher/src/main/java/org/junit/platform/launcher/core/DiscoveryIssueCollector.java:25-65; data/code/junit-platform-launcher/src/main/java/org/junit/platform/launcher/core/DiscoveryIssueReportingDiscoveryListener.java:49-131; data/code/junit-platform-launcher/src/main/java/org/junit/platform/launcher/core/DefaultLauncher.java:73-77; data/code/junit-platform-launcher/src/main/java/org/junit/platform/launcher/core/EngineDiscoveryOrchestrator.java:189-214; data/code/junit-platform-engine/src/main/java/org/junit/platform/engine/support/discovery/EngineDiscoveryRequestResolution.java:60-263; data/code/junit-platform-launcher/src/main/java/org/junit/platform/launcher/listeners/discovery/CompositeLauncherDiscoveryListener.java:29-67</t>
        </is>
      </c>
      <c r="G7" s="8" t="inlineStr">
        <is>
          <t>Discovery progress (launcher/engine discovery started and finished, selector processed, issues) is pushed to registered LauncherDiscoveryListeners that the orchestrator only knows by interface.</t>
        </is>
      </c>
      <c r="H7" s="8" t="inlineStr">
        <is>
          <t>baseline</t>
        </is>
      </c>
      <c r="I7" s="8" t="inlineStr">
        <is>
          <t>Instance as found in the original code (Part 1).</t>
        </is>
      </c>
    </row>
    <row r="8">
      <c r="A8" s="8" t="inlineStr">
        <is>
          <t>Original code</t>
        </is>
      </c>
      <c r="B8" s="8" t="inlineStr">
        <is>
          <t>Adapter</t>
        </is>
      </c>
      <c r="C8" s="8" t="inlineStr">
        <is>
          <t>Structural</t>
        </is>
      </c>
      <c r="D8" s="8" t="inlineStr">
        <is>
          <t>A7 Orderer Descriptor Wrappers</t>
        </is>
      </c>
      <c r="E8" s="8" t="inlineStr">
        <is>
          <t>Target=org.junit.jupiter.api.ClassDescriptor; Target=org.junit.jupiter.api.MethodDescriptor; Adapter (base)=org.junit.jupiter.engine.discovery.AbstractAnnotatedDescriptorWrapper; Adapter=org.junit.jupiter.engine.discovery.DefaultClassDescriptor; Adapter=org.junit.jupiter.engine.discovery.DefaultMethodDescriptor; Adaptee=org.junit.jupiter.engine.descriptor.ClassBasedTestDescriptor; Adaptee=org.junit.jupiter.engine.descriptor.MethodBasedTestDescriptor; Client=org.junit.jupiter.engine.discovery.ClassOrderingVisitor</t>
        </is>
      </c>
      <c r="F8" s="8" t="inlineStr">
        <is>
          <t>data/code/junit-jupiter-api/src/main/java/org/junit/jupiter/api/ClassDescriptor.java:28-87; data/code/junit-jupiter-api/src/main/java/org/junit/jupiter/api/MethodDescriptor.java:29-90; data/code/junit-jupiter-engine/src/main/java/org/junit/jupiter/engine/discovery/AbstractAnnotatedDescriptorWrapper.java:28-65; data/code/junit-jupiter-engine/src/main/java/org/junit/jupiter/engine/discovery/DefaultClassDescriptor.java:23-39; data/code/junit-jupiter-engine/src/main/java/org/junit/jupiter/engine/discovery/DefaultMethodDescriptor.java:25-41; data/code/junit-jupiter-engine/src/main/java/org/junit/jupiter/engine/descriptor/ClassBasedTestDescriptor.java:89-601; data/code/junit-jupiter-engine/src/main/java/org/junit/jupiter/engine/descriptor/MethodBasedTestDescriptor.java:56-217; data/code/junit-jupiter-engine/src/main/java/org/junit/jupiter/engine/discovery/ClassOrderingVisitor.java:38-165</t>
        </is>
      </c>
      <c r="G8" s="8" t="inlineStr">
        <is>
          <t>User ClassOrderer/MethodOrderer code expects the public ClassDescriptor/MethodDescriptor API; the wrappers expose internal descriptors through it so internal classes never leak to user code.</t>
        </is>
      </c>
      <c r="H8" s="8" t="inlineStr">
        <is>
          <t>baseline</t>
        </is>
      </c>
      <c r="I8" s="8" t="inlineStr">
        <is>
          <t>Instance as found in the original code (Part 1).</t>
        </is>
      </c>
    </row>
    <row r="9">
      <c r="A9" s="8" t="inlineStr">
        <is>
          <t>Original code</t>
        </is>
      </c>
      <c r="B9" s="8" t="inlineStr">
        <is>
          <t>Template Method</t>
        </is>
      </c>
      <c r="C9" s="8" t="inlineStr">
        <is>
          <t>Behavioral</t>
        </is>
      </c>
      <c r="D9" s="8" t="inlineStr">
        <is>
          <t>B1 Hierarchical Engine Execution Skeleton</t>
        </is>
      </c>
      <c r="E9" s="8" t="inlineStr">
        <is>
          <t>AbstractClass=org.junit.platform.engine.support.hierarchical.HierarchicalTestEngine; TemplateMethod=org.junit.platform.engine.support.hierarchical.HierarchicalTestEngine#execute; PrimitiveOperation=org.junit.platform.engine.support.hierarchical.HierarchicalTestEngine#createExecutionContext; ConcreteClass=org.junit.jupiter.engine.JupiterTestEngine</t>
        </is>
      </c>
      <c r="F9" s="8" t="inlineStr">
        <is>
          <t>data/code/junit-platform-engine/src/main/java/org/junit/platform/engine/support/hierarchical/HierarchicalTestEngine.java:31-119; data/code/junit-platform-engine/src/main/java/org/junit/platform/engine/support/hierarchical/HierarchicalTestEngine.java:53-63; data/code/junit-platform-engine/src/main/java/org/junit/platform/engine/support/hierarchical/HierarchicalTestEngine.java:117-117; data/code/junit-jupiter-engine/src/main/java/org/junit/jupiter/engine/JupiterTestEngine.java:44-108</t>
        </is>
      </c>
      <c r="G9" s="8" t="inlineStr">
        <is>
          <t>final HierarchicalTestEngine.execute fixes the run order (executor service, context, collector factory, HierarchicalTestExecutor); JupiterTestEngine only supplies the steps. Overlaps B2.</t>
        </is>
      </c>
      <c r="H9" s="8" t="inlineStr">
        <is>
          <t>baseline</t>
        </is>
      </c>
      <c r="I9" s="8" t="inlineStr">
        <is>
          <t>Instance as found in the original code (Part 1).</t>
        </is>
      </c>
    </row>
    <row r="10">
      <c r="A10" s="8" t="inlineStr">
        <is>
          <t>Original code</t>
        </is>
      </c>
      <c r="B10" s="8" t="inlineStr">
        <is>
          <t>Factory Method</t>
        </is>
      </c>
      <c r="C10" s="8" t="inlineStr">
        <is>
          <t>Creational</t>
        </is>
      </c>
      <c r="D10" s="8" t="inlineStr">
        <is>
          <t>B2 Engine Collaborator Factory Methods</t>
        </is>
      </c>
      <c r="E10" s="8" t="inlineStr">
        <is>
          <t>Creator (factory method)=org.junit.platform.engine.support.hierarchical.HierarchicalTestEngine#createExecutorService; ConcreteCreator=org.junit.jupiter.engine.JupiterTestEngine#createExecutorService; ConcreteCreator=org.junit.jupiter.engine.JupiterTestEngine#createExecutionContext; ConcreteCreator=org.junit.jupiter.engine.JupiterTestEngine#createThrowableCollectorFactory; ConcreteProduct=org.junit.jupiter.engine.execution.JupiterEngineExecutionContext</t>
        </is>
      </c>
      <c r="F10" s="8" t="inlineStr">
        <is>
          <t>data/code/junit-platform-engine/src/main/java/org/junit/platform/engine/support/hierarchical/HierarchicalTestEngine.java:83-85; data/code/junit-jupiter-engine/src/main/java/org/junit/jupiter/engine/JupiterTestEngine.java:80-87; data/code/junit-jupiter-engine/src/main/java/org/junit/jupiter/engine/JupiterTestEngine.java:90-93; data/code/junit-jupiter-engine/src/main/java/org/junit/jupiter/engine/JupiterTestEngine.java:99-101; data/code/junit-jupiter-engine/src/main/java/org/junit/jupiter/engine/execution/JupiterEngineExecutionContext.java:30-209</t>
        </is>
      </c>
      <c r="G10" s="8" t="inlineStr">
        <is>
          <t>The template in B1 asks overridable create* methods which objects to use; JupiterTestEngine overrides them to choose a parallel/same-thread executor, its JupiterEngineExecutionContext and its throwable-collector factory. Overlaps B1.</t>
        </is>
      </c>
      <c r="H10" s="8" t="inlineStr">
        <is>
          <t>baseline</t>
        </is>
      </c>
      <c r="I10" s="8" t="inlineStr">
        <is>
          <t>Instance as found in the original code (Part 1).</t>
        </is>
      </c>
    </row>
    <row r="11">
      <c r="A11" s="8" t="inlineStr">
        <is>
          <t>Original code</t>
        </is>
      </c>
      <c r="B11" s="8" t="inlineStr">
        <is>
          <t>Strategy</t>
        </is>
      </c>
      <c r="C11" s="8" t="inlineStr">
        <is>
          <t>Behavioral</t>
        </is>
      </c>
      <c r="D11" s="8" t="inlineStr">
        <is>
          <t>B3 Test Executor Services</t>
        </is>
      </c>
      <c r="E11" s="8" t="inlineStr">
        <is>
          <t>Strategy=org.junit.platform.engine.support.hierarchical.HierarchicalTestExecutorService; ConcreteStrategy=org.junit.platform.engine.support.hierarchical.SameThreadHierarchicalTestExecutorService; ConcreteStrategy=org.junit.platform.engine.support.hierarchical.ForkJoinPoolHierarchicalTestExecutorService; ConcreteStrategy=org.junit.platform.engine.support.hierarchical.WorkerThreadPoolHierarchicalTestExecutorService; Context=org.junit.platform.engine.support.hierarchical.HierarchicalTestExecutor; Context=org.junit.platform.engine.support.hierarchical.NodeTestTask#executeRecursively</t>
        </is>
      </c>
      <c r="F11" s="8" t="inlineStr">
        <is>
          <t>data/code/junit-platform-engine/src/main/java/org/junit/platform/engine/support/hierarchical/HierarchicalTestExecutorService.java:34-118; data/code/junit-platform-engine/src/main/java/org/junit/platform/engine/support/hierarchical/SameThreadHierarchicalTestExecutorService.java:29-50; data/code/junit-platform-engine/src/main/java/org/junit/platform/engine/support/hierarchical/ForkJoinPoolHierarchicalTestExecutorService.java:51-331; data/code/junit-platform-engine/src/main/java/org/junit/platform/engine/support/hierarchical/WorkerThreadPoolHierarchicalTestExecutorService.java:70-901; data/code/junit-platform-engine/src/main/java/org/junit/platform/engine/support/hierarchical/HierarchicalTestExecutor.java:36-71; data/code/junit-platform-engine/src/main/java/org/junit/platform/engine/support/hierarchical/NodeTestTask.java:157-189</t>
        </is>
      </c>
      <c r="G11" s="8" t="inlineStr">
        <is>
          <t>Sequential vs parallel scheduling is swappable behind HierarchicalTestExecutorService; NodeTestTask and HierarchicalTestExecutor only call submit/invokeAll.</t>
        </is>
      </c>
      <c r="H11" s="8" t="inlineStr">
        <is>
          <t>baseline</t>
        </is>
      </c>
      <c r="I11" s="8" t="inlineStr">
        <is>
          <t>Instance as found in the original code (Part 1).</t>
        </is>
      </c>
    </row>
    <row r="12">
      <c r="A12" s="8" t="inlineStr">
        <is>
          <t>Original code</t>
        </is>
      </c>
      <c r="B12" s="8" t="inlineStr">
        <is>
          <t>Strategy</t>
        </is>
      </c>
      <c r="C12" s="8" t="inlineStr">
        <is>
          <t>Behavioral</t>
        </is>
      </c>
      <c r="D12" s="8" t="inlineStr">
        <is>
          <t>B4 Parallelism Configuration Strategy</t>
        </is>
      </c>
      <c r="E12" s="8" t="inlineStr">
        <is>
          <t>Strategy=org.junit.platform.engine.support.hierarchical.ParallelExecutionConfigurationStrategy; ConcreteStrategy (enum FIXED/DYNAMIC/CUSTOM)=org.junit.platform.engine.support.hierarchical.DefaultParallelExecutionConfigurationStrategy; Selection=org.junit.platform.engine.support.hierarchical.DefaultParallelExecutionConfigurationStrategy#getStrategy; Context=org.junit.platform.engine.support.hierarchical.ParallelHierarchicalTestExecutorServiceFactory</t>
        </is>
      </c>
      <c r="F12" s="8" t="inlineStr">
        <is>
          <t>data/code/junit-platform-engine/src/main/java/org/junit/platform/engine/support/hierarchical/ParallelExecutionConfigurationStrategy.java:25-33; data/code/junit-platform-engine/src/main/java/org/junit/platform/engine/support/hierarchical/DefaultParallelExecutionConfigurationStrategy.java:33-228; data/code/junit-platform-engine/src/main/java/org/junit/platform/engine/support/hierarchical/DefaultParallelExecutionConfigurationStrategy.java:223-226; data/code/junit-platform-engine/src/main/java/org/junit/platform/engine/support/hierarchical/ParallelHierarchicalTestExecutorServiceFactory.java:33-123</t>
        </is>
      </c>
      <c r="G12" s="8" t="inlineStr">
        <is>
          <t>How parallelism is computed (FIXED, DYNAMIC from CPU count, CUSTOM user class) is chosen by configuration; each enum constant implements createConfiguration.</t>
        </is>
      </c>
      <c r="H12" s="8" t="inlineStr">
        <is>
          <t>baseline</t>
        </is>
      </c>
      <c r="I12" s="8" t="inlineStr">
        <is>
          <t>Instance as found in the original code (Part 1).</t>
        </is>
      </c>
    </row>
    <row r="13">
      <c r="A13" s="8" t="inlineStr">
        <is>
          <t>Original code</t>
        </is>
      </c>
      <c r="B13" s="8" t="inlineStr">
        <is>
          <t>Decorator</t>
        </is>
      </c>
      <c r="C13" s="8" t="inlineStr">
        <is>
          <t>Structural</t>
        </is>
      </c>
      <c r="D13" s="8" t="inlineStr">
        <is>
          <t>B5 Intercepting Launcher Wrappers</t>
        </is>
      </c>
      <c r="E13" s="8" t="inlineStr">
        <is>
          <t>Component=org.junit.platform.launcher.Launcher; ConcreteComponent=org.junit.platform.launcher.core.DefaultLauncher; Decorator=org.junit.platform.launcher.core.DelegatingLauncher; ConcreteDecorator=org.junit.platform.launcher.core.InterceptingLauncher; Assembler=org.junit.platform.launcher.core.DefaultLauncherSession</t>
        </is>
      </c>
      <c r="F13" s="8" t="inlineStr">
        <is>
          <t>data/code/junit-platform-launcher/src/main/java/org/junit/platform/launcher/Launcher.java:53-164; data/code/junit-platform-launcher/src/main/java/org/junit/platform/launcher/core/DefaultLauncher.java:43-145; data/code/junit-platform-launcher/src/main/java/org/junit/platform/launcher/core/DelegatingLauncher.java:24-73; data/code/junit-platform-launcher/src/main/java/org/junit/platform/launcher/core/InterceptingLauncher.java:25-70; data/code/junit-platform-launcher/src/main/java/org/junit/platform/launcher/core/DefaultLauncherSession.java:35-159</t>
        </is>
      </c>
      <c r="G13" s="8" t="inlineStr">
        <is>
          <t>The session's launcher is DelegatingLauncher &gt; InterceptingLauncher &gt; DefaultLauncher; each wrapper implements Launcher and forwards, InterceptingLauncher adds LauncherInterceptor around every call.</t>
        </is>
      </c>
      <c r="H13" s="8" t="inlineStr">
        <is>
          <t>baseline</t>
        </is>
      </c>
      <c r="I13" s="8" t="inlineStr">
        <is>
          <t>Instance as found in the original code (Part 1).</t>
        </is>
      </c>
    </row>
    <row r="14">
      <c r="A14" s="8" t="inlineStr">
        <is>
          <t>Original code</t>
        </is>
      </c>
      <c r="B14" s="8" t="inlineStr">
        <is>
          <t>Decorator</t>
        </is>
      </c>
      <c r="C14" s="8" t="inlineStr">
        <is>
          <t>Structural</t>
        </is>
      </c>
      <c r="D14" s="8" t="inlineStr">
        <is>
          <t>B6 Engine Listener Wrappers</t>
        </is>
      </c>
      <c r="E14" s="8" t="inlineStr">
        <is>
          <t>Component=org.junit.platform.engine.EngineExecutionListener; Decorator=org.junit.platform.launcher.core.DelegatingEngineExecutionListener; ConcreteDecorator=org.junit.platform.launcher.core.StackTracePruningEngineExecutionListener; ConcreteDecorator=org.junit.platform.launcher.core.OutcomeDelayingEngineExecutionListener; ConcreteDecorator=org.junit.platform.launcher.core.MemoryCleanupListener; Assembler=org.junit.platform.launcher.core.EngineExecutionOrchestrator#executeEngine</t>
        </is>
      </c>
      <c r="F14" s="8" t="inlineStr">
        <is>
          <t>data/code/junit-platform-engine/src/main/java/org/junit/platform/engine/EngineExecutionListener.java:34-164; data/code/junit-platform-launcher/src/main/java/org/junit/platform/launcher/core/DelegatingEngineExecutionListener.java:22-59; data/code/junit-platform-launcher/src/main/java/org/junit/platform/launcher/core/StackTracePruningEngineExecutionListener.java:31-70; data/code/junit-platform-launcher/src/main/java/org/junit/platform/launcher/core/OutcomeDelayingEngineExecutionListener.java:28-101; data/code/junit-platform-launcher/src/main/java/org/junit/platform/launcher/core/MemoryCleanupListener.java:30-93; data/code/junit-platform-launcher/src/main/java/org/junit/platform/launcher/core/EngineExecutionOrchestrator.java:248-275</t>
        </is>
      </c>
      <c r="G14" s="8" t="inlineStr">
        <is>
          <t>EngineExecutionOrchestrator stacks independent wrappers (stack-trace pruning, outcome delaying, memory cleanup) on the engine listener; each forwards and adds one behaviour. Also part of Area C.</t>
        </is>
      </c>
      <c r="H14" s="8" t="inlineStr">
        <is>
          <t>baseline</t>
        </is>
      </c>
      <c r="I14" s="8" t="inlineStr">
        <is>
          <t>Instance as found in the original code (Part 1).</t>
        </is>
      </c>
    </row>
    <row r="15">
      <c r="A15" s="8" t="inlineStr">
        <is>
          <t>Original code</t>
        </is>
      </c>
      <c r="B15" s="8" t="inlineStr">
        <is>
          <t>Adapter</t>
        </is>
      </c>
      <c r="C15" s="8" t="inlineStr">
        <is>
          <t>Structural</t>
        </is>
      </c>
      <c r="D15" s="8" t="inlineStr">
        <is>
          <t>B7 Engine-to-Launcher Listener Adapter</t>
        </is>
      </c>
      <c r="E15" s="8" t="inlineStr">
        <is>
          <t>Target=org.junit.platform.engine.EngineExecutionListener; Adapter=org.junit.platform.launcher.core.ExecutionListenerAdapter; Adaptee=org.junit.platform.launcher.TestExecutionListener; Client (wiring)=org.junit.platform.launcher.core.EngineExecutionOrchestrator#buildEngineExecutionListener</t>
        </is>
      </c>
      <c r="F15" s="8" t="inlineStr">
        <is>
          <t>data/code/junit-platform-engine/src/main/java/org/junit/platform/engine/EngineExecutionListener.java:34-164; data/code/junit-platform-launcher/src/main/java/org/junit/platform/launcher/core/ExecutionListenerAdapter.java:28-74; data/code/junit-platform-launcher/src/main/java/org/junit/platform/launcher/TestExecutionListener.java:76-203; data/code/junit-platform-launcher/src/main/java/org/junit/platform/launcher/core/EngineExecutionOrchestrator.java:141-152</t>
        </is>
      </c>
      <c r="G15" s="8" t="inlineStr">
        <is>
          <t>Engines report with mutable TestDescriptors; ExecutionListenerAdapter implements EngineExecutionListener and forwards to a TestExecutionListener with immutable TestIdentifiers looked up in the TestPlan. Also part of Area C.</t>
        </is>
      </c>
      <c r="H15" s="8" t="inlineStr">
        <is>
          <t>baseline</t>
        </is>
      </c>
      <c r="I15" s="8" t="inlineStr">
        <is>
          <t>Instance as found in the original code (Part 1).</t>
        </is>
      </c>
    </row>
    <row r="16">
      <c r="A16" s="8" t="inlineStr">
        <is>
          <t>Original code</t>
        </is>
      </c>
      <c r="B16" s="8" t="inlineStr">
        <is>
          <t>Observer</t>
        </is>
      </c>
      <c r="C16" s="8" t="inlineStr">
        <is>
          <t>Behavioral</t>
        </is>
      </c>
      <c r="D16" s="8" t="inlineStr">
        <is>
          <t>B8 Execution Event Notification</t>
        </is>
      </c>
      <c r="E16" s="8" t="inlineStr">
        <is>
          <t>Observer=org.junit.platform.engine.EngineExecutionListener; ConcreteObserver=org.junit.platform.launcher.core.OutcomeDelayingEngineExecutionListener; ConcreteObserver=org.junit.platform.launcher.core.ExecutionListenerAdapter; Subject (notify)=org.junit.platform.engine.support.hierarchical.NodeTestTask#executeRecursively; Subject (notify)=org.junit.platform.engine.support.hierarchical.NodeTestTask#reportCompletion</t>
        </is>
      </c>
      <c r="F16" s="8" t="inlineStr">
        <is>
          <t>data/code/junit-platform-engine/src/main/java/org/junit/platform/engine/EngineExecutionListener.java:34-164; data/code/junit-platform-launcher/src/main/java/org/junit/platform/launcher/core/OutcomeDelayingEngineExecutionListener.java:28-101; data/code/junit-platform-launcher/src/main/java/org/junit/platform/launcher/core/ExecutionListenerAdapter.java:28-74; data/code/junit-platform-engine/src/main/java/org/junit/platform/engine/support/hierarchical/NodeTestTask.java:157-189; data/code/junit-platform-engine/src/main/java/org/junit/platform/engine/support/hierarchical/NodeTestTask.java:195-226</t>
        </is>
      </c>
      <c r="G16" s="8" t="inlineStr">
        <is>
          <t>During execution NodeTestTask pushes executionStarted/Skipped/Finished to the EngineExecutionListener from the ExecutionRequest, without knowing who listens. Also part of Area C.</t>
        </is>
      </c>
      <c r="H16" s="8" t="inlineStr">
        <is>
          <t>baseline</t>
        </is>
      </c>
      <c r="I16" s="8" t="inlineStr">
        <is>
          <t>Instance as found in the original code (Part 1).</t>
        </is>
      </c>
    </row>
    <row r="17">
      <c r="A17" s="8" t="inlineStr">
        <is>
          <t>Original code</t>
        </is>
      </c>
      <c r="B17" s="8" t="inlineStr">
        <is>
          <t>Command</t>
        </is>
      </c>
      <c r="C17" s="8" t="inlineStr">
        <is>
          <t>Behavioral</t>
        </is>
      </c>
      <c r="D17" s="8" t="inlineStr">
        <is>
          <t>B9 Node Execution Tasks</t>
        </is>
      </c>
      <c r="E17" s="8" t="inlineStr">
        <is>
          <t>Command=org.junit.platform.engine.support.hierarchical.HierarchicalTestExecutorService.TestTask; ConcreteCommand=org.junit.platform.engine.support.hierarchical.NodeTestTask; Invoker=org.junit.platform.engine.support.hierarchical.SameThreadHierarchicalTestExecutorService; Invoker=org.junit.platform.engine.support.hierarchical.ForkJoinPoolHierarchicalTestExecutorService</t>
        </is>
      </c>
      <c r="F17" s="8" t="inlineStr">
        <is>
          <t>data/code/junit-platform-engine/src/main/java/org/junit/platform/engine/support/hierarchical/HierarchicalTestExecutorService.java:88-116; data/code/junit-platform-engine/src/main/java/org/junit/platform/engine/support/hierarchical/NodeTestTask.java:46-307; data/code/junit-platform-engine/src/main/java/org/junit/platform/engine/support/hierarchical/SameThreadHierarchicalTestExecutorService.java:29-50; data/code/junit-platform-engine/src/main/java/org/junit/platform/engine/support/hierarchical/ForkJoinPoolHierarchicalTestExecutorService.java:51-331</t>
        </is>
      </c>
      <c r="G17" s="8" t="inlineStr">
        <is>
          <t>Each node's work is packaged as a TestTask object (execute + execution mode + lock) and handed to an executor service that decides when and on which thread to run it.</t>
        </is>
      </c>
      <c r="H17" s="8" t="inlineStr">
        <is>
          <t>baseline</t>
        </is>
      </c>
      <c r="I17" s="8" t="inlineStr">
        <is>
          <t>Instance as found in the original code (Part 1).</t>
        </is>
      </c>
    </row>
    <row r="18">
      <c r="A18" s="8" t="inlineStr">
        <is>
          <t>Original code</t>
        </is>
      </c>
      <c r="B18" s="8" t="inlineStr">
        <is>
          <t>Null Object</t>
        </is>
      </c>
      <c r="C18" s="8" t="inlineStr">
        <is>
          <t>Behavioral</t>
        </is>
      </c>
      <c r="D18" s="8" t="inlineStr">
        <is>
          <t>B10 No-op Node</t>
        </is>
      </c>
      <c r="E18" s="8" t="inlineStr">
        <is>
          <t>AbstractObject=org.junit.platform.engine.support.hierarchical.Node; NullObject provider=org.junit.platform.engine.support.hierarchical.NodeUtils#asNode; Client=org.junit.platform.engine.support.hierarchical.NodeTestTask</t>
        </is>
      </c>
      <c r="F18" s="8" t="inlineStr">
        <is>
          <t>data/code/junit-platform-engine/src/main/java/org/junit/platform/engine/support/hierarchical/Node.java:38-381; data/code/junit-platform-engine/src/main/java/org/junit/platform/engine/support/hierarchical/NodeUtils.java:25-27; data/code/junit-platform-engine/src/main/java/org/junit/platform/engine/support/hierarchical/NodeTestTask.java:46-307</t>
        </is>
      </c>
      <c r="G18" s="8" t="inlineStr">
        <is>
          <t>A TestDescriptor that is not a Node gets a do-nothing Node from NodeUtils.asNode, so NodeTestTask never needs null checks.</t>
        </is>
      </c>
      <c r="H18" s="8" t="inlineStr">
        <is>
          <t>baseline</t>
        </is>
      </c>
      <c r="I18" s="8" t="inlineStr">
        <is>
          <t>Instance as found in the original code (Part 1).</t>
        </is>
      </c>
    </row>
    <row r="19">
      <c r="A19" s="8" t="inlineStr">
        <is>
          <t>Original code</t>
        </is>
      </c>
      <c r="B19" s="8" t="inlineStr">
        <is>
          <t>Observer</t>
        </is>
      </c>
      <c r="C19" s="8" t="inlineStr">
        <is>
          <t>Behavioral</t>
        </is>
      </c>
      <c r="D19" s="8" t="inlineStr">
        <is>
          <t>C1 Test Execution Listeners</t>
        </is>
      </c>
      <c r="E19" s="8" t="inlineStr">
        <is>
          <t>Observer=org.junit.platform.launcher.TestExecutionListener; ConcreteObserver=org.junit.platform.launcher.listeners.SummaryGeneratingListener; ConcreteObserver=org.junit.platform.launcher.listeners.LoggingListener; ConcreteObserver=org.junit.platform.launcher.listeners.UniqueIdTrackingListener; ConcreteObserver=org.junit.platform.launcher.jfr.FlightRecordingExecutionListener; ConcreteObserver=org.junit.platform.launcher.core.StreamInterceptingTestExecutionListener; Subject (attach)=org.junit.platform.launcher.core.DefaultLauncher#registerTestExecutionListeners; Subject (notify)=org.junit.platform.launcher.core.CompositeTestExecutionListener#notifyEach</t>
        </is>
      </c>
      <c r="F19" s="8" t="inlineStr">
        <is>
          <t>data/code/junit-platform-launcher/src/main/java/org/junit/platform/launcher/TestExecutionListener.java:76-203; data/code/junit-platform-launcher/src/main/java/org/junit/platform/launcher/listeners/SummaryGeneratingListener.java:36-148; data/code/junit-platform-launcher/src/main/java/org/junit/platform/launcher/listeners/LoggingListener.java:39-132; data/code/junit-platform-launcher/src/main/java/org/junit/platform/launcher/listeners/UniqueIdTrackingListener.java:94-217; data/code/junit-platform-launcher/src/main/java/org/junit/platform/launcher/jfr/FlightRecordingExecutionListener.java:43-225; data/code/junit-platform-launcher/src/main/java/org/junit/platform/launcher/core/StreamInterceptingTestExecutionListener.java:35-99; data/code/junit-platform-launcher/src/main/java/org/junit/platform/launcher/core/DefaultLauncher.java:80-84; data/code/junit-platform-launcher/src/main/java/org/junit/platform/launcher/core/CompositeTestExecutionListener.java:104-116</t>
        </is>
      </c>
      <c r="G19" s="8" t="inlineStr">
        <is>
          <t>Client-side observers (IDE, summary, logging, unique-id file, JFR, stdout capture) register three ways and are notified of the same run events; notifyEach isolates each listener's failure. Different from B8 (engine side).</t>
        </is>
      </c>
      <c r="H19" s="8" t="inlineStr">
        <is>
          <t>baseline</t>
        </is>
      </c>
      <c r="I19" s="8" t="inlineStr">
        <is>
          <t>Instance as found in the original code (Part 1).</t>
        </is>
      </c>
    </row>
    <row r="20">
      <c r="A20" s="8" t="inlineStr">
        <is>
          <t>Original code</t>
        </is>
      </c>
      <c r="B20" s="8" t="inlineStr">
        <is>
          <t>Observer</t>
        </is>
      </c>
      <c r="C20" s="8" t="inlineStr">
        <is>
          <t>Behavioral</t>
        </is>
      </c>
      <c r="D20" s="8" t="inlineStr">
        <is>
          <t>C2 Launcher Session Notification</t>
        </is>
      </c>
      <c r="E20" s="8" t="inlineStr">
        <is>
          <t>Observer=org.junit.platform.launcher.LauncherSessionListener; Subject=org.junit.platform.launcher.core.DefaultLauncherSession; Multicaster=org.junit.platform.launcher.listeners.session.CompositeLauncherSessionListener</t>
        </is>
      </c>
      <c r="F20" s="8" t="inlineStr">
        <is>
          <t>data/code/junit-platform-launcher/src/main/java/org/junit/platform/launcher/LauncherSessionListener.java:43-67; data/code/junit-platform-launcher/src/main/java/org/junit/platform/launcher/core/DefaultLauncherSession.java:35-159; data/code/junit-platform-launcher/src/main/java/org/junit/platform/launcher/listeners/session/CompositeLauncherSessionListener.java:24-41</t>
        </is>
      </c>
      <c r="G20" s="8" t="inlineStr">
        <is>
          <t>LauncherSessionListeners are told when a launcher session opens and closes by DefaultLauncherSession.</t>
        </is>
      </c>
      <c r="H20" s="8" t="inlineStr">
        <is>
          <t>baseline</t>
        </is>
      </c>
      <c r="I20" s="8" t="inlineStr">
        <is>
          <t>Instance as found in the original code (Part 1).</t>
        </is>
      </c>
    </row>
    <row r="21">
      <c r="A21" s="8" t="inlineStr">
        <is>
          <t>Original code</t>
        </is>
      </c>
      <c r="B21" s="8" t="inlineStr">
        <is>
          <t>Strategy</t>
        </is>
      </c>
      <c r="C21" s="8" t="inlineStr">
        <is>
          <t>Behavioral</t>
        </is>
      </c>
      <c r="D21" s="8" t="inlineStr">
        <is>
          <t>C3 Listener Notification Order</t>
        </is>
      </c>
      <c r="E21" s="8" t="inlineStr">
        <is>
          <t>Strategy + ConcreteStrategies (ORIGINAL, REVERSED)=org.junit.platform.launcher.core.IterationOrder; Context=org.junit.platform.launcher.core.CompositeTestExecutionListener#notifyEach; Context=org.junit.platform.launcher.core.CompositeEngineExecutionListener#notifyEach</t>
        </is>
      </c>
      <c r="F21" s="8" t="inlineStr">
        <is>
          <t>data/code/junit-platform-launcher/src/main/java/org/junit/platform/launcher/core/IterationOrder.java:18-35; data/code/junit-platform-launcher/src/main/java/org/junit/platform/launcher/core/CompositeTestExecutionListener.java:104-116; data/code/junit-platform-launcher/src/main/java/org/junit/platform/launcher/core/CompositeEngineExecutionListener.java:78-90</t>
        </is>
      </c>
      <c r="G21" s="8" t="inlineStr">
        <is>
          <t>The order in which listeners are notified is an interchangeable algorithm: IterationOrder.ORIGINAL for started events, REVERSED for finished events, used by notifyEach.</t>
        </is>
      </c>
      <c r="H21" s="8" t="inlineStr">
        <is>
          <t>baseline</t>
        </is>
      </c>
      <c r="I21" s="8" t="inlineStr">
        <is>
          <t>Instance as found in the original code (Part 1).</t>
        </is>
      </c>
    </row>
    <row r="22">
      <c r="A22" s="8" t="inlineStr">
        <is>
          <t>Original code</t>
        </is>
      </c>
      <c r="B22" s="8" t="inlineStr">
        <is>
          <t>Strategy</t>
        </is>
      </c>
      <c r="C22" s="8" t="inlineStr">
        <is>
          <t>Behavioral</t>
        </is>
      </c>
      <c r="D22" s="8" t="inlineStr">
        <is>
          <t>C4 Pluggable Log Sink</t>
        </is>
      </c>
      <c r="E22" s="8" t="inlineStr">
        <is>
          <t>Strategy=java.util.function.BiConsumer; ConcreteStrategy factory=org.junit.platform.launcher.listeners.LoggingListener#forJavaUtilLogging; ConcreteStrategy factory=org.junit.platform.launcher.listeners.LoggingListener#forBiConsumer; Context=org.junit.platform.launcher.listeners.LoggingListener</t>
        </is>
      </c>
      <c r="F22" s="8" t="inlineStr">
        <is>
          <t>java.util.function.BiConsumer (JDK); data/code/junit-platform-launcher/src/main/java/org/junit/platform/launcher/listeners/LoggingListener.java:49-51; data/code/junit-platform-launcher/src/main/java/org/junit/platform/launcher/listeners/LoggingListener.java:82-84; data/code/junit-platform-launcher/src/main/java/org/junit/platform/launcher/listeners/LoggingListener.java:39-132</t>
        </is>
      </c>
      <c r="G22" s="8" t="inlineStr">
        <is>
          <t>LoggingListener's behaviour is fixed but where log lines go is an injected BiConsumer (java.util.logging via forJavaUtilLogging, or any sink via forBiConsumer).</t>
        </is>
      </c>
      <c r="H22" s="8" t="inlineStr">
        <is>
          <t>baseline</t>
        </is>
      </c>
      <c r="I22" s="8" t="inlineStr">
        <is>
          <t>Instance as found in the original code (Part 1).</t>
        </is>
      </c>
    </row>
    <row r="23">
      <c r="A23" s="8" t="inlineStr">
        <is>
          <t>Original code</t>
        </is>
      </c>
      <c r="B23" s="8" t="inlineStr">
        <is>
          <t>Adapter</t>
        </is>
      </c>
      <c r="C23" s="8" t="inlineStr">
        <is>
          <t>Structural</t>
        </is>
      </c>
      <c r="D23" s="8" t="inlineStr">
        <is>
          <t>C5 Test Reporter Adapter</t>
        </is>
      </c>
      <c r="E23" s="8" t="inlineStr">
        <is>
          <t>Target=org.junit.jupiter.api.TestReporter; Adapter=org.junit.jupiter.engine.extension.DefaultTestReporter; Adaptee=org.junit.jupiter.engine.descriptor.AbstractExtensionContext#publishReportEntry</t>
        </is>
      </c>
      <c r="F23" s="8" t="inlineStr">
        <is>
          <t>data/code/junit-jupiter-api/src/main/java/org/junit/jupiter/api/TestReporter.java:47-231; data/code/junit-jupiter-engine/src/main/java/org/junit/jupiter/engine/extension/DefaultTestReporter.java:24-47; data/code/junit-jupiter-engine/src/main/java/org/junit/jupiter/engine/descriptor/AbstractExtensionContext.java:141-143</t>
        </is>
      </c>
      <c r="G23" s="8" t="inlineStr">
        <is>
          <t>Tests call the simple TestReporter API; DefaultTestReporter implements it by calling ExtensionContext.publishReportEntry, which turns the map into a ReportEntry event.</t>
        </is>
      </c>
      <c r="H23" s="8" t="inlineStr">
        <is>
          <t>baseline</t>
        </is>
      </c>
      <c r="I23" s="8" t="inlineStr">
        <is>
          <t>Instance as found in the original code (Part 1).</t>
        </is>
      </c>
    </row>
    <row r="24">
      <c r="A24" s="8" t="inlineStr">
        <is>
          <t>Original code</t>
        </is>
      </c>
      <c r="B24" s="8" t="inlineStr">
        <is>
          <t>Decorator</t>
        </is>
      </c>
      <c r="C24" s="8" t="inlineStr">
        <is>
          <t>Structural</t>
        </is>
      </c>
      <c r="D24" s="8" t="inlineStr">
        <is>
          <t>C6 Captured Output Stream</t>
        </is>
      </c>
      <c r="E24" s="8" t="inlineStr">
        <is>
          <t>Component=java.io.PrintStream; ConcreteDecorator=org.junit.platform.launcher.core.StreamInterceptor; Installer / client=org.junit.platform.launcher.core.StreamInterceptingTestExecutionListener</t>
        </is>
      </c>
      <c r="F24" s="8" t="inlineStr">
        <is>
          <t>java.io.PrintStream (JDK); data/code/junit-platform-launcher/src/main/java/org/junit/platform/launcher/core/StreamInterceptor.java:27-145; data/code/junit-platform-launcher/src/main/java/org/junit/platform/launcher/core/StreamInterceptingTestExecutionListener.java:35-99</t>
        </is>
      </c>
      <c r="G24" s="8" t="inlineStr">
        <is>
          <t>StreamInterceptor extends PrintStream, wraps System.out/err, copies every write into a per-thread buffer and still forwards to the original stream (super.write).</t>
        </is>
      </c>
      <c r="H24" s="8" t="inlineStr">
        <is>
          <t>baseline</t>
        </is>
      </c>
      <c r="I24" s="8" t="inlineStr">
        <is>
          <t>Instance as found in the original code (Part 1).</t>
        </is>
      </c>
    </row>
    <row r="25">
      <c r="A25" s="8" t="inlineStr">
        <is>
          <t>Original code</t>
        </is>
      </c>
      <c r="B25" s="8" t="inlineStr">
        <is>
          <t>Null Object</t>
        </is>
      </c>
      <c r="C25" s="8" t="inlineStr">
        <is>
          <t>Behavioral</t>
        </is>
      </c>
      <c r="D25" s="8" t="inlineStr">
        <is>
          <t>C7 No-op Listeners</t>
        </is>
      </c>
      <c r="E25" s="8" t="inlineStr">
        <is>
          <t>NullObject holder=org.junit.platform.engine.EngineExecutionListener; NullObject holder=org.junit.platform.launcher.LauncherSessionListener; Client=org.junit.platform.launcher.listeners.session.LauncherSessionListeners</t>
        </is>
      </c>
      <c r="F25" s="8" t="inlineStr">
        <is>
          <t>data/code/junit-platform-engine/src/main/java/org/junit/platform/engine/EngineExecutionListener.java:34-164; data/code/junit-platform-launcher/src/main/java/org/junit/platform/launcher/LauncherSessionListener.java:43-67; data/code/junit-platform-launcher/src/main/java/org/junit/platform/launcher/listeners/session/LauncherSessionListeners.java:28-45</t>
        </is>
      </c>
      <c r="G25" s="8" t="inlineStr">
        <is>
          <t>EngineExecutionListener.NOOP and LauncherSessionListener.NOOP stand in for 'no listener' so callers never check for null; LauncherSessionListeners returns NOOP for an empty list.</t>
        </is>
      </c>
      <c r="H25" s="8" t="inlineStr">
        <is>
          <t>baseline</t>
        </is>
      </c>
      <c r="I25" s="8" t="inlineStr">
        <is>
          <t>Instance as found in the original code (Part 1).</t>
        </is>
      </c>
    </row>
    <row r="26">
      <c r="A26" s="8" t="inlineStr">
        <is>
          <t>Original code</t>
        </is>
      </c>
      <c r="B26" s="8" t="inlineStr">
        <is>
          <t>Strategy</t>
        </is>
      </c>
      <c r="C26" s="8" t="inlineStr">
        <is>
          <t>Behavioral</t>
        </is>
      </c>
      <c r="D26" s="8" t="inlineStr">
        <is>
          <t>D1 Temp Directory Creation</t>
        </is>
      </c>
      <c r="E26" s="8" t="inlineStr">
        <is>
          <t>Strategy=org.junit.jupiter.api.io.TempDirFactory; ConcreteStrategy=org.junit.jupiter.api.io.TempDirFactory.Standard; Selection=org.junit.jupiter.engine.extension.TempDirectory#determineTempDirFactory; Context=org.junit.jupiter.engine.extension.TempDirectory</t>
        </is>
      </c>
      <c r="F26" s="8" t="inlineStr">
        <is>
          <t>data/code/junit-jupiter-api/src/main/java/org/junit/jupiter/api/io/TempDirFactory.java:49-100; data/code/junit-jupiter-api/src/main/java/org/junit/jupiter/api/io/TempDirFactory.java:83-98; data/code/junit-jupiter-engine/src/main/java/org/junit/jupiter/engine/extension/TempDirectory.java:194-200; data/code/junit-jupiter-engine/src/main/java/org/junit/jupiter/engine/extension/TempDirectory.java:72-359</t>
        </is>
      </c>
      <c r="G26" s="8" t="inlineStr">
        <is>
          <t>How a @TempDir directory is created is a TempDirFactory chosen from @TempDir(factory) or the configuration; TempDirFactory.Standard is the default.</t>
        </is>
      </c>
      <c r="H26" s="8" t="inlineStr">
        <is>
          <t>baseline</t>
        </is>
      </c>
      <c r="I26" s="8" t="inlineStr">
        <is>
          <t>Instance as found in the original code (Part 1).</t>
        </is>
      </c>
    </row>
    <row r="27">
      <c r="A27" s="8" t="inlineStr">
        <is>
          <t>Original code</t>
        </is>
      </c>
      <c r="B27" s="8" t="inlineStr">
        <is>
          <t>Strategy</t>
        </is>
      </c>
      <c r="C27" s="8" t="inlineStr">
        <is>
          <t>Behavioral</t>
        </is>
      </c>
      <c r="D27" s="8" t="inlineStr">
        <is>
          <t>D2 Temp Directory Deletion</t>
        </is>
      </c>
      <c r="E27" s="8" t="inlineStr">
        <is>
          <t>Strategy=org.junit.jupiter.api.io.TempDirDeletionStrategy; ConcreteStrategy=org.junit.jupiter.api.io.TempDirDeletionStrategy.IgnoreFailures; ConcreteStrategy=org.junit.jupiter.api.io.TempDirDeletionStrategy.Standard; Selection=org.junit.jupiter.engine.extension.TempDirectory#determineDeletionStrategy</t>
        </is>
      </c>
      <c r="F27" s="8" t="inlineStr">
        <is>
          <t>data/code/junit-jupiter-api/src/main/java/org/junit/jupiter/api/io/TempDirDeletionStrategy.java:71-474; data/code/junit-jupiter-api/src/main/java/org/junit/jupiter/api/io/TempDirDeletionStrategy.java:97-149; data/code/junit-jupiter-api/src/main/java/org/junit/jupiter/api/io/TempDirDeletionStrategy.java:165-360; data/code/junit-jupiter-engine/src/main/java/org/junit/jupiter/engine/extension/TempDirectory.java:187-192</t>
        </is>
      </c>
      <c r="G27" s="8" t="inlineStr">
        <is>
          <t>How a temp directory is deleted is a TempDirDeletionStrategy (IgnoreFailures or Standard) chosen from @TempDir(deletionStrategy) or the configuration and called from Cleanup.run.</t>
        </is>
      </c>
      <c r="H27" s="8" t="inlineStr">
        <is>
          <t>baseline</t>
        </is>
      </c>
      <c r="I27" s="8" t="inlineStr">
        <is>
          <t>Instance as found in the original code (Part 1).</t>
        </is>
      </c>
    </row>
    <row r="28">
      <c r="A28" s="8" t="inlineStr">
        <is>
          <t>Original code</t>
        </is>
      </c>
      <c r="B28" s="8" t="inlineStr">
        <is>
          <t>Strategy</t>
        </is>
      </c>
      <c r="C28" s="8" t="inlineStr">
        <is>
          <t>Behavioral</t>
        </is>
      </c>
      <c r="D28" s="8" t="inlineStr">
        <is>
          <t>D3 Parameter Resolution</t>
        </is>
      </c>
      <c r="E28" s="8" t="inlineStr">
        <is>
          <t>Strategy=org.junit.jupiter.api.extension.ParameterResolver; ConcreteStrategy=org.junit.jupiter.engine.extension.TempDirectory; ConcreteStrategy=org.junit.jupiter.engine.extension.TestInfoParameterResolver; ConcreteStrategy=org.junit.jupiter.engine.extension.TestReporterParameterResolver; Context=org.junit.jupiter.engine.execution.ParameterResolutionUtils#resolveParameter</t>
        </is>
      </c>
      <c r="F28" s="8" t="inlineStr">
        <is>
          <t>data/code/junit-jupiter-api/src/main/java/org/junit/jupiter/api/extension/ParameterResolver.java:69-116; data/code/junit-jupiter-engine/src/main/java/org/junit/jupiter/engine/extension/TempDirectory.java:72-359; data/code/junit-jupiter-engine/src/main/java/org/junit/jupiter/engine/extension/TestInfoParameterResolver.java:30-100; data/code/junit-jupiter-engine/src/main/java/org/junit/jupiter/engine/extension/TestReporterParameterResolver.java:23-40; data/code/junit-jupiter-engine/src/main/java/org/junit/jupiter/engine/execution/ParameterResolutionUtils.java:127-180</t>
        </is>
      </c>
      <c r="G28" s="8" t="inlineStr">
        <is>
          <t>For each parameter the context asks every ParameterResolver supportsParameter; exactly one must match and its resolveParameter supplies the value (none or several is an error).</t>
        </is>
      </c>
      <c r="H28" s="8" t="inlineStr">
        <is>
          <t>baseline</t>
        </is>
      </c>
      <c r="I28" s="8" t="inlineStr">
        <is>
          <t>Instance as found in the original code (Part 1).</t>
        </is>
      </c>
    </row>
    <row r="29">
      <c r="A29" s="8" t="inlineStr">
        <is>
          <t>Original code</t>
        </is>
      </c>
      <c r="B29" s="8" t="inlineStr">
        <is>
          <t>Strategy</t>
        </is>
      </c>
      <c r="C29" s="8" t="inlineStr">
        <is>
          <t>Behavioral</t>
        </is>
      </c>
      <c r="D29" s="8" t="inlineStr">
        <is>
          <t>D4 Conditional Execution</t>
        </is>
      </c>
      <c r="E29" s="8" t="inlineStr">
        <is>
          <t>Strategy=org.junit.jupiter.api.extension.ExecutionCondition; ConcreteStrategy=org.junit.jupiter.engine.extension.DisabledCondition; Context=org.junit.jupiter.engine.execution.ConditionEvaluator#evaluate; Caller=org.junit.jupiter.engine.descriptor.JupiterTestDescriptor#shouldBeSkipped</t>
        </is>
      </c>
      <c r="F29" s="8" t="inlineStr">
        <is>
          <t>data/code/junit-jupiter-api/src/main/java/org/junit/jupiter/api/extension/ExecutionCondition.java:58-73; data/code/junit-jupiter-engine/src/main/java/org/junit/jupiter/engine/extension/DisabledCondition.java:31-54; data/code/junit-jupiter-engine/src/main/java/org/junit/jupiter/engine/execution/ConditionEvaluator.java:48-59; data/code/junit-jupiter-engine/src/main/java/org/junit/jupiter/engine/descriptor/JupiterTestDescriptor.java:227-232</t>
        </is>
      </c>
      <c r="G29" s="8" t="inlineStr">
        <is>
          <t>Each ExecutionCondition encapsulates an enable/disable policy; ConditionEvaluator applies all of them and the first 'disabled' wins.</t>
        </is>
      </c>
      <c r="H29" s="8" t="inlineStr">
        <is>
          <t>baseline</t>
        </is>
      </c>
      <c r="I29" s="8" t="inlineStr">
        <is>
          <t>Instance as found in the original code (Part 1).</t>
        </is>
      </c>
    </row>
    <row r="30">
      <c r="A30" s="8" t="inlineStr">
        <is>
          <t>Original code</t>
        </is>
      </c>
      <c r="B30" s="8" t="inlineStr">
        <is>
          <t>Strategy</t>
        </is>
      </c>
      <c r="C30" s="8" t="inlineStr">
        <is>
          <t>Behavioral</t>
        </is>
      </c>
      <c r="D30" s="8" t="inlineStr">
        <is>
          <t>D5 Store Close Action</t>
        </is>
      </c>
      <c r="E30" s="8" t="inlineStr">
        <is>
          <t>Strategy=org.junit.platform.engine.support.store.NamespacedHierarchicalStore.CloseAction; ConcreteStrategy (lambda)=org.junit.jupiter.engine.descriptor.AbstractExtensionContext#createCloseAction; Context=org.junit.platform.engine.support.store.NamespacedHierarchicalStore#close</t>
        </is>
      </c>
      <c r="F30" s="8" t="inlineStr">
        <is>
          <t>data/code/junit-platform-engine/src/main/java/org/junit/platform/engine/support/store/NamespacedHierarchicalStore.java:734-761; data/code/junit-jupiter-engine/src/main/java/org/junit/jupiter/engine/descriptor/AbstractExtensionContext.java:103-123; data/code/junit-platform-engine/src/main/java/org/junit/platform/engine/support/store/NamespacedHierarchicalStore.java:135-165</t>
        </is>
      </c>
      <c r="G30" s="8" t="inlineStr">
        <is>
          <t>The platform store does not know how to close Jupiter values, so AbstractExtensionContext injects a CloseAction (close AutoCloseable / CloseableResource values).</t>
        </is>
      </c>
      <c r="H30" s="8" t="inlineStr">
        <is>
          <t>baseline</t>
        </is>
      </c>
      <c r="I30" s="8" t="inlineStr">
        <is>
          <t>Instance as found in the original code (Part 1).</t>
        </is>
      </c>
    </row>
    <row r="31">
      <c r="A31" s="8" t="inlineStr">
        <is>
          <t>Original code</t>
        </is>
      </c>
      <c r="B31" s="8" t="inlineStr">
        <is>
          <t>Adapter</t>
        </is>
      </c>
      <c r="C31" s="8" t="inlineStr">
        <is>
          <t>Structural</t>
        </is>
      </c>
      <c r="D31" s="8" t="inlineStr">
        <is>
          <t>D6 Extension Store Adapter</t>
        </is>
      </c>
      <c r="E31" s="8" t="inlineStr">
        <is>
          <t>Target=org.junit.jupiter.api.extension.ExtensionContext.Store; Adapter=org.junit.jupiter.engine.execution.NamespaceAwareStore; Adaptee=org.junit.platform.engine.support.store.NamespacedHierarchicalStore; Adapter factory=org.junit.jupiter.engine.execution.LauncherStoreFacade#getStoreAdapter; Client=org.junit.jupiter.engine.descriptor.AbstractExtensionContext#getStore</t>
        </is>
      </c>
      <c r="F31" s="8" t="inlineStr">
        <is>
          <t>data/code/junit-jupiter-api/src/main/java/org/junit/jupiter/api/extension/ExtensionContext.java:526-897; data/code/junit-jupiter-engine/src/main/java/org/junit/jupiter/engine/execution/NamespaceAwareStore.java:31-127; data/code/junit-platform-engine/src/main/java/org/junit/platform/engine/support/store/NamespacedHierarchicalStore.java:56-763; data/code/junit-jupiter-engine/src/main/java/org/junit/jupiter/engine/execution/LauncherStoreFacade.java:46-50; data/code/junit-jupiter-engine/src/main/java/org/junit/jupiter/engine/descriptor/AbstractExtensionContext.java:219-221</t>
        </is>
      </c>
      <c r="G31" s="8" t="inlineStr">
        <is>
          <t>Extensions use the namespace-scoped ExtensionContext.Store; NamespaceAwareStore implements it on top of the platform NamespacedHierarchicalStore, fixing the namespace and translating exceptions.</t>
        </is>
      </c>
      <c r="H31" s="8" t="inlineStr">
        <is>
          <t>baseline</t>
        </is>
      </c>
      <c r="I31" s="8" t="inlineStr">
        <is>
          <t>Instance as found in the original code (Part 1).</t>
        </is>
      </c>
    </row>
    <row r="32">
      <c r="A32" s="8" t="inlineStr">
        <is>
          <t>Original code</t>
        </is>
      </c>
      <c r="B32" s="8" t="inlineStr">
        <is>
          <t>Adapter</t>
        </is>
      </c>
      <c r="C32" s="8" t="inlineStr">
        <is>
          <t>Structural</t>
        </is>
      </c>
      <c r="D32" s="8" t="inlineStr">
        <is>
          <t>D7 Lifecycle Method Adapters</t>
        </is>
      </c>
      <c r="E32" s="8" t="inlineStr">
        <is>
          <t>Target=org.junit.jupiter.engine.execution.BeforeEachMethodAdapter; Target=org.junit.jupiter.engine.execution.AfterEachMethodAdapter; Adapter (lambda)=org.junit.jupiter.engine.descriptor.ClassBasedTestDescriptor#synthesizeBeforeEachMethodAdapter; Adapter (lambda)=org.junit.jupiter.engine.descriptor.ClassBasedTestDescriptor#synthesizeAfterEachMethodAdapter; Client=org.junit.jupiter.engine.descriptor.TestMethodTestDescriptor#invokeBeforeEachMethods</t>
        </is>
      </c>
      <c r="F32" s="8" t="inlineStr">
        <is>
          <t>data/code/junit-jupiter-engine/src/main/java/org/junit/jupiter/engine/execution/BeforeEachMethodAdapter.java:29-33; data/code/junit-jupiter-engine/src/main/java/org/junit/jupiter/engine/execution/AfterEachMethodAdapter.java:29-33; data/code/junit-jupiter-engine/src/main/java/org/junit/jupiter/engine/descriptor/ClassBasedTestDescriptor.java:533-536; data/code/junit-jupiter-engine/src/main/java/org/junit/jupiter/engine/descriptor/ClassBasedTestDescriptor.java:538-541; data/code/junit-jupiter-engine/src/main/java/org/junit/jupiter/engine/descriptor/TestMethodTestDescriptor.java:187-197</t>
        </is>
      </c>
      <c r="G32" s="8" t="inlineStr">
        <is>
          <t>A user's @BeforeEach/@AfterEach Method is wrapped as a synthetic extension implementing BeforeEachMethodAdapter/AfterEachMethodAdapter so it runs through the extension ordering. Adapters are lambdas (no named class).</t>
        </is>
      </c>
      <c r="H32" s="8" t="inlineStr">
        <is>
          <t>baseline</t>
        </is>
      </c>
      <c r="I32" s="8" t="inlineStr">
        <is>
          <t>Instance as found in the original code (Part 1).</t>
        </is>
      </c>
    </row>
    <row r="33">
      <c r="A33" s="8" t="inlineStr">
        <is>
          <t>Original code</t>
        </is>
      </c>
      <c r="B33" s="8" t="inlineStr">
        <is>
          <t>Observer</t>
        </is>
      </c>
      <c r="C33" s="8" t="inlineStr">
        <is>
          <t>Behavioral</t>
        </is>
      </c>
      <c r="D33" s="8" t="inlineStr">
        <is>
          <t>D8 Test Outcome Watchers</t>
        </is>
      </c>
      <c r="E33" s="8" t="inlineStr">
        <is>
          <t>Observer=org.junit.jupiter.api.extension.TestWatcher; ConcreteObserver=org.junit.jupiter.engine.extension.RepetitionExtension; Subject (notify)=org.junit.jupiter.engine.descriptor.MethodBasedTestDescriptor#invokeTestWatchers; Subject (trigger)=org.junit.jupiter.engine.descriptor.TestMethodTestDescriptor#nodeFinished</t>
        </is>
      </c>
      <c r="F33" s="8" t="inlineStr">
        <is>
          <t>data/code/junit-jupiter-api/src/main/java/org/junit/jupiter/api/extension/TestWatcher.java:70-124; data/code/junit-jupiter-engine/src/main/java/org/junit/jupiter/engine/extension/RepetitionExtension.java:41-78; data/code/junit-jupiter-engine/src/main/java/org/junit/jupiter/engine/descriptor/MethodBasedTestDescriptor.java:166-192; data/code/junit-jupiter-engine/src/main/java/org/junit/jupiter/engine/descriptor/TestMethodTestDescriptor.java:278-291</t>
        </is>
      </c>
      <c r="G33" s="8" t="inlineStr">
        <is>
          <t>TestWatcher extensions are told each test's outcome and cannot change it; their exceptions are only logged.</t>
        </is>
      </c>
      <c r="H33" s="8" t="inlineStr">
        <is>
          <t>baseline</t>
        </is>
      </c>
      <c r="I33" s="8" t="inlineStr">
        <is>
          <t>Instance as found in the original code (Part 1).</t>
        </is>
      </c>
    </row>
    <row r="34">
      <c r="A34" s="8" t="inlineStr">
        <is>
          <t>Original code</t>
        </is>
      </c>
      <c r="B34" s="8" t="inlineStr">
        <is>
          <t>Chain of Responsibility</t>
        </is>
      </c>
      <c r="C34" s="8" t="inlineStr">
        <is>
          <t>Behavioral</t>
        </is>
      </c>
      <c r="D34" s="8" t="inlineStr">
        <is>
          <t>D9 Invocation Interceptor Chain</t>
        </is>
      </c>
      <c r="E34" s="8" t="inlineStr">
        <is>
          <t>Handler=org.junit.jupiter.api.extension.InvocationInterceptor; ConcreteHandler=org.junit.jupiter.engine.extension.TimeoutExtension; Chain builder=org.junit.jupiter.engine.execution.InvocationInterceptorChain#chainInterceptors; Link to next handler=org.junit.jupiter.engine.execution.InvocationInterceptorChain.InterceptedInvocation; Client=org.junit.jupiter.engine.execution.InterceptingExecutableInvoker</t>
        </is>
      </c>
      <c r="F34" s="8" t="inlineStr">
        <is>
          <t>data/code/junit-jupiter-api/src/main/java/org/junit/jupiter/api/extension/InvocationInterceptor.java:64-253; data/code/junit-jupiter-engine/src/main/java/org/junit/jupiter/engine/extension/TimeoutExtension.java:36-217; data/code/junit-jupiter-engine/src/main/java/org/junit/jupiter/engine/execution/InvocationInterceptorChain.java:52-62; data/code/junit-jupiter-engine/src/main/java/org/junit/jupiter/engine/execution/InvocationInterceptorChain.java:94-106; data/code/junit-jupiter-engine/src/main/java/org/junit/jupiter/engine/execution/InterceptingExecutableInvoker.java:40-137</t>
        </is>
      </c>
      <c r="G34" s="8" t="inlineStr">
        <is>
          <t>Every test/lifecycle/constructor call passes through a chain of InvocationInterceptors built back to front; each handler can proceed(), skip() or wrap the rest of the chain (interceptor-chain variant).</t>
        </is>
      </c>
      <c r="H34" s="8" t="inlineStr">
        <is>
          <t>baseline</t>
        </is>
      </c>
      <c r="I34" s="8" t="inlineStr">
        <is>
          <t>Instance as found in the original code (Part 1).</t>
        </is>
      </c>
    </row>
    <row r="35">
      <c r="A35" s="8" t="inlineStr">
        <is>
          <t>Original code</t>
        </is>
      </c>
      <c r="B35" s="8" t="inlineStr">
        <is>
          <t>Decorator</t>
        </is>
      </c>
      <c r="C35" s="8" t="inlineStr">
        <is>
          <t>Structural</t>
        </is>
      </c>
      <c r="D35" s="8" t="inlineStr">
        <is>
          <t>D10 Timeout Invocation Wrappers</t>
        </is>
      </c>
      <c r="E35" s="8" t="inlineStr">
        <is>
          <t>Component=org.junit.jupiter.api.extension.InvocationInterceptor.Invocation; ConcreteDecorator=org.junit.jupiter.engine.extension.SameThreadTimeoutInvocation; ConcreteDecorator=org.junit.jupiter.engine.extension.SeparateThreadTimeoutInvocation; ConcreteDecorator=org.junit.jupiter.engine.execution.InvocationInterceptorChain.ValidatingInvocation; Client=org.junit.jupiter.engine.extension.TimeoutExtension#decorate</t>
        </is>
      </c>
      <c r="F35" s="8" t="inlineStr">
        <is>
          <t>data/code/junit-jupiter-api/src/main/java/org/junit/jupiter/api/extension/InvocationInterceptor.java:231-251; data/code/junit-jupiter-engine/src/main/java/org/junit/jupiter/engine/extension/SameThreadTimeoutInvocation.java:26-99; data/code/junit-jupiter-engine/src/main/java/org/junit/jupiter/engine/extension/SeparateThreadTimeoutInvocation.java:24-52; data/code/junit-jupiter-engine/src/main/java/org/junit/jupiter/engine/execution/InvocationInterceptorChain.java:108-151; data/code/junit-jupiter-engine/src/main/java/org/junit/jupiter/engine/extension/TimeoutExtension.java:178-190</t>
        </is>
      </c>
      <c r="G35" s="8" t="inlineStr">
        <is>
          <t>TimeoutExtension.decorate wraps the Invocation in a timeout-aware Invocation that keeps the original as delegate and adds timing around delegate.proceed(); ValidatingInvocation adds a call-once check.</t>
        </is>
      </c>
      <c r="H35" s="8" t="inlineStr">
        <is>
          <t>baseline</t>
        </is>
      </c>
      <c r="I35" s="8" t="inlineStr">
        <is>
          <t>Instance as found in the original code (Part 1).</t>
        </is>
      </c>
    </row>
    <row r="36">
      <c r="A36" s="8" t="inlineStr">
        <is>
          <t>Original code</t>
        </is>
      </c>
      <c r="B36" s="8" t="inlineStr">
        <is>
          <t>Command</t>
        </is>
      </c>
      <c r="C36" s="8" t="inlineStr">
        <is>
          <t>Behavioral</t>
        </is>
      </c>
      <c r="D36" s="8" t="inlineStr">
        <is>
          <t>D11 Packaged Reflective Calls</t>
        </is>
      </c>
      <c r="E36" s="8" t="inlineStr">
        <is>
          <t>Command=org.junit.jupiter.api.extension.InvocationInterceptor.Invocation; ConcreteCommand=org.junit.jupiter.engine.execution.MethodInvocation; ConcreteCommand=org.junit.jupiter.engine.execution.ConstructorInvocation; Client=org.junit.jupiter.engine.execution.InterceptingExecutableInvoker</t>
        </is>
      </c>
      <c r="F36" s="8" t="inlineStr">
        <is>
          <t>data/code/junit-jupiter-api/src/main/java/org/junit/jupiter/api/extension/InvocationInterceptor.java:231-251; data/code/junit-jupiter-engine/src/main/java/org/junit/jupiter/engine/execution/MethodInvocation.java:25-64; data/code/junit-jupiter-engine/src/main/java/org/junit/jupiter/engine/execution/ConstructorInvocation.java:25-60; data/code/junit-jupiter-engine/src/main/java/org/junit/jupiter/engine/execution/InterceptingExecutableInvoker.java:40-137</t>
        </is>
      </c>
      <c r="G36" s="8" t="inlineStr">
        <is>
          <t>A resolved reflective call (method or constructor + target + arguments) is packaged as an Invocation object so interceptors can run it later, on another thread, or skip it.</t>
        </is>
      </c>
      <c r="H36" s="8" t="inlineStr">
        <is>
          <t>baseline</t>
        </is>
      </c>
      <c r="I36" s="8" t="inlineStr">
        <is>
          <t>Instance as found in the original code (Part 1).</t>
        </is>
      </c>
    </row>
    <row r="37">
      <c r="A37" s="8" t="inlineStr">
        <is>
          <t>Code after Change3</t>
        </is>
      </c>
      <c r="B37" s="8" t="inlineStr">
        <is>
          <t>Composite</t>
        </is>
      </c>
      <c r="C37" s="8" t="inlineStr">
        <is>
          <t>Structural</t>
        </is>
      </c>
      <c r="D37" s="8" t="inlineStr">
        <is>
          <t>A1 Test Descriptor Tree</t>
        </is>
      </c>
      <c r="E37" s="8" t="inlineStr">
        <is>
          <t>Component=org.junit.platform.engine.TestDescriptor; Composite (base)=org.junit.platform.engine.support.descriptor.AbstractTestDescriptor; Composite=org.junit.platform.engine.support.descriptor.EngineDescriptor; Composite=org.junit.jupiter.engine.descriptor.JupiterEngineDescriptor; Composite=org.junit.jupiter.engine.descriptor.ClassTestDescriptor; Composite=org.junit.jupiter.engine.descriptor.NestedClassTestDescriptor; Composite=org.junit.jupiter.engine.descriptor.ClassTemplateTestDescriptor; Composite=org.junit.jupiter.engine.descriptor.ClassTemplateInvocationTestDescriptor; Composite=org.junit.jupiter.engine.descriptor.TestTemplateTestDescriptor; Composite=org.junit.jupiter.engine.descriptor.TestFactoryTestDescriptor; Composite=org.junit.jupiter.engine.descriptor.DynamicContainerTestDescriptor; Leaf=org.junit.jupiter.engine.descriptor.TestMethodTestDescriptor; Leaf=org.junit.jupiter.engine.descriptor.TestTemplateInvocationTestDescriptor; Leaf=org.junit.jupiter.engine.descriptor.DynamicTestTestDescriptor; Client=org.junit.platform.launcher.core.EngineDiscoveryOrchestrator#applyPostDiscoveryFilters; Client=org.junit.platform.engine.support.hierarchical.NodeTestTask#executeRecursively</t>
        </is>
      </c>
      <c r="F37" s="8" t="inlineStr">
        <is>
          <t>junit-platform-engine/src/main/java/org/junit/platform/engine/TestDescriptor.java:37-427 @6f98fbf; junit-platform-engine/src/main/java/org/junit/platform/engine/support/descriptor/AbstractTestDescriptor.java:42-248 @6f98fbf; junit-platform-engine/src/main/java/org/junit/platform/engine/support/descriptor/EngineDescriptor.java:25-53 @6f98fbf; junit-jupiter-engine/src/main/java/org/junit/jupiter/engine/descriptor/JupiterEngineDescriptor.java:30-70 @6f98fbf; junit-jupiter-engine/src/main/java/org/junit/jupiter/engine/descriptor/ClassTestDescriptor.java:47-106 @6f98fbf; junit-jupiter-engine/src/main/java/org/junit/jupiter/engine/descriptor/NestedClassTestDescriptor.java:49-121 @6f98fbf; junit-jupiter-engine/src/main/java/org/junit/jupiter/engine/descriptor/ClassTemplateTestDescriptor.java:51-277 @6f98fbf; junit-jupiter-engine/src/main/java/org/junit/jupiter/engine/descriptor/ClassTemplateInvocationTestDescriptor.java:48-202 @6f98fbf; junit-jupiter-engine/src/main/java/org/junit/jupiter/engine/descriptor/TestTemplateTestDescriptor.java:41-167 @6f98fbf; junit-jupiter-engine/src/main/java/org/junit/jupiter/engine/descriptor/TestFactoryTestDescriptor.java:56-223 @6f98fbf; junit-jupiter-engine/src/main/java/org/junit/jupiter/engine/descriptor/DynamicContainerTestDescriptor.java:34-88 @6f98fbf; junit-jupiter-engine/src/main/java/org/junit/jupiter/engine/descriptor/TestMethodTestDescriptor.java:71-293 @6f98fbf; junit-jupiter-engine/src/main/java/org/junit/jupiter/engine/descriptor/TestTemplateInvocationTestDescriptor.java:42-104 @6f98fbf; junit-jupiter-engine/src/main/java/org/junit/jupiter/engine/descriptor/DynamicTestTestDescriptor.java:37-100 @6f98fbf; junit-platform-launcher/src/main/java/org/junit/platform/launcher/core/EngineDiscoveryOrchestrator.java:229-242 @6f98fbf; junit-platform-engine/src/main/java/org/junit/platform/engine/support/hierarchical/NodeTestTask.java:157-189 @6f98fbf</t>
        </is>
      </c>
      <c r="G37" s="8" t="inlineStr">
        <is>
          <t>Engines build one tree of TestDescriptor nodes (engine &gt; class &gt; nested class &gt; method &gt; dynamic test); the launcher filters, prunes, visits and executes it without knowing node kinds. Evidence: TestDescriptor.accept visits itself then calls child.accept(visitor); AbstractTestDescriptor holds the children set and findByUniqueId recurses; NodeTestTask creates one child task per child. Transparent variant: leaf vs container is decided by getType().</t>
        </is>
      </c>
      <c r="H37" s="8" t="inlineStr">
        <is>
          <t>preserved</t>
        </is>
      </c>
      <c r="I37" s="8" t="inlineStr">
        <is>
          <t>Not affected by CH03; participants unchanged. Line ranges updated because surrounding code in a participant file changed.</t>
        </is>
      </c>
    </row>
    <row r="38">
      <c r="A38" s="8" t="inlineStr">
        <is>
          <t>Code after Change3</t>
        </is>
      </c>
      <c r="B38" s="8" t="inlineStr">
        <is>
          <t>Composite</t>
        </is>
      </c>
      <c r="C38" s="8" t="inlineStr">
        <is>
          <t>Structural</t>
        </is>
      </c>
      <c r="D38" s="8" t="inlineStr">
        <is>
          <t>A2 Composed Discovery Filter</t>
        </is>
      </c>
      <c r="E38" s="8" t="inlineStr">
        <is>
          <t>Component=org.junit.platform.engine.Filter; Composite=org.junit.platform.engine.CompositeFilter; Leaf=org.junit.platform.launcher.IncludeMethodFilter; Leaf=org.junit.platform.launcher.ExcludeMethodFilter; Leaf (lambda factory)=org.junit.platform.launcher.TagFilter; Client=org.junit.platform.launcher.core.EngineDiscoveryOrchestrator#applyPostDiscoveryFilters; Leaf=org.junit.platform.launcher.core.FilterPolicy</t>
        </is>
      </c>
      <c r="F38" s="8" t="inlineStr">
        <is>
          <t>junit-platform-engine/src/main/java/org/junit/platform/engine/Filter.java:41-119 @6f98fbf; junit-platform-engine/src/main/java/org/junit/platform/engine/CompositeFilter.java:29-89 @6f98fbf; junit-platform-launcher/src/main/java/org/junit/platform/launcher/IncludeMethodFilter.java:31-58 @6f98fbf; junit-platform-launcher/src/main/java/org/junit/platform/launcher/ExcludeMethodFilter.java:31-58 @6f98fbf; junit-platform-launcher/src/main/java/org/junit/platform/launcher/TagFilter.java:48-184 @6f98fbf; junit-platform-launcher/src/main/java/org/junit/platform/launcher/core/EngineDiscoveryOrchestrator.java:229-242 @6f98fbf; junit-platform-launcher/src/main/java/org/junit/platform/launcher/core/FilterPolicy.java:45-114 @6f98fbf</t>
        </is>
      </c>
      <c r="G38" s="8" t="inlineStr">
        <is>
          <t>All post-discovery filters are merged into one Filter by Filter.composeFilters; CompositeFilter implements Filter, holds a list of Filters and combines their FilterResults into one answer (first exclusion wins). Overlaps A3 (same leaf classes seen as strategies).</t>
        </is>
      </c>
      <c r="H38" s="8" t="inlineStr">
        <is>
          <t>extended</t>
        </is>
      </c>
      <c r="I38" s="8" t="inlineStr">
        <is>
          <t>Added Leaf FilterPolicy (configurable post-discovery filter). It is combined with the other filters by the unchanged CompositeFilter (AND), so it can only narrow the result.</t>
        </is>
      </c>
    </row>
    <row r="39">
      <c r="A39" s="8" t="inlineStr">
        <is>
          <t>Code after Change3</t>
        </is>
      </c>
      <c r="B39" s="8" t="inlineStr">
        <is>
          <t>Strategy</t>
        </is>
      </c>
      <c r="C39" s="8" t="inlineStr">
        <is>
          <t>Behavioral</t>
        </is>
      </c>
      <c r="D39" s="8" t="inlineStr">
        <is>
          <t>A3 Post-Discovery Filter Policies</t>
        </is>
      </c>
      <c r="E39" s="8" t="inlineStr">
        <is>
          <t>Strategy=org.junit.platform.launcher.PostDiscoveryFilter; ConcreteStrategy=org.junit.platform.launcher.IncludeMethodFilter; ConcreteStrategy=org.junit.platform.launcher.ExcludeMethodFilter; ConcreteStrategy (lambdas)=org.junit.platform.launcher.TagFilter; Context=org.junit.platform.launcher.core.EngineDiscoveryOrchestrator#applyPostDiscoveryFilters; ConcreteStrategy=org.junit.platform.launcher.core.FilterPolicy; Context (assembles strategies)=org.junit.platform.launcher.core.EngineDiscoveryOrchestrator#collectPostDiscoveryFilters</t>
        </is>
      </c>
      <c r="F39" s="8" t="inlineStr">
        <is>
          <t>junit-platform-launcher/src/main/java/org/junit/platform/launcher/PostDiscoveryFilter.java:35-36 @6f98fbf; junit-platform-launcher/src/main/java/org/junit/platform/launcher/IncludeMethodFilter.java:31-58 @6f98fbf; junit-platform-launcher/src/main/java/org/junit/platform/launcher/ExcludeMethodFilter.java:31-58 @6f98fbf; junit-platform-launcher/src/main/java/org/junit/platform/launcher/TagFilter.java:48-184 @6f98fbf; junit-platform-launcher/src/main/java/org/junit/platform/launcher/core/EngineDiscoveryOrchestrator.java:229-242 @6f98fbf; junit-platform-launcher/src/main/java/org/junit/platform/launcher/core/FilterPolicy.java:45-114 @6f98fbf; junit-platform-launcher/src/main/java/org/junit/platform/launcher/core/EngineDiscoveryOrchestrator.java:186-191 @6f98fbf</t>
        </is>
      </c>
      <c r="G39" s="8" t="inlineStr">
        <is>
          <t>Selection rules (tag expressions, method-name patterns, custom filters) are interchangeable algorithms behind PostDiscoveryFilter; EngineDiscoveryOrchestrator only calls apply(). Overlaps A2.</t>
        </is>
      </c>
      <c r="H39" s="8" t="inlineStr">
        <is>
          <t>extended</t>
        </is>
      </c>
      <c r="I39" s="8" t="inlineStr">
        <is>
          <t>Added ConcreteStrategy FilterPolicy (mode off/exclude/only over tag expressions and method patterns, read from configuration). New context method collectPostDiscoveryFilters (CH03a Extract Method) adds it after the ServiceLoader and request filters.</t>
        </is>
      </c>
    </row>
    <row r="40">
      <c r="A40" s="8" t="inlineStr">
        <is>
          <t>Code after Change3</t>
        </is>
      </c>
      <c r="B40" s="8" t="inlineStr">
        <is>
          <t>Template Method</t>
        </is>
      </c>
      <c r="C40" s="8" t="inlineStr">
        <is>
          <t>Behavioral</t>
        </is>
      </c>
      <c r="D40" s="8" t="inlineStr">
        <is>
          <t>A4 Jupiter Descriptor Skeletons</t>
        </is>
      </c>
      <c r="E40" s="8" t="inlineStr">
        <is>
          <t>AbstractClass=org.junit.jupiter.engine.descriptor.JupiterTestDescriptor; TemplateMethod=org.junit.jupiter.engine.descriptor.JupiterTestDescriptor#getExecutionMode; TemplateMethod=org.junit.jupiter.engine.descriptor.JupiterTestDescriptor#getLegacyReportingName; TemplateMethod=org.junit.jupiter.engine.descriptor.JupiterTestDescriptor#copyIncludingDescendants; PrimitiveOperation=org.junit.jupiter.engine.descriptor.JupiterTestDescriptor#withUniqueId; ConcreteClass (hook)=org.junit.jupiter.engine.descriptor.ClassBasedTestDescriptor#getExplicitExecutionMode; ConcreteClass (hook)=org.junit.jupiter.engine.descriptor.MethodBasedTestDescriptor#getExplicitExecutionMode; ConcreteClass (primitive)=org.junit.jupiter.engine.descriptor.ClassTestDescriptor#withUniqueId</t>
        </is>
      </c>
      <c r="F40" s="8" t="inlineStr">
        <is>
          <t>junit-jupiter-engine/src/main/java/org/junit/jupiter/engine/descriptor/JupiterTestDescriptor.java:64-283 @6f98fbf; junit-jupiter-engine/src/main/java/org/junit/jupiter/engine/descriptor/JupiterTestDescriptor.java:163-167 @6f98fbf; junit-jupiter-engine/src/main/java/org/junit/jupiter/engine/descriptor/JupiterTestDescriptor.java:85-88 @6f98fbf; junit-jupiter-engine/src/main/java/org/junit/jupiter/engine/descriptor/JupiterTestDescriptor.java:256-263 @6f98fbf; junit-jupiter-engine/src/main/java/org/junit/jupiter/engine/descriptor/JupiterTestDescriptor.java:268-268 @6f98fbf; junit-jupiter-engine/src/main/java/org/junit/jupiter/engine/descriptor/ClassBasedTestDescriptor.java:167-169 @6f98fbf; junit-jupiter-engine/src/main/java/org/junit/jupiter/engine/descriptor/MethodBasedTestDescriptor.java:147-149 @6f98fbf; junit-jupiter-engine/src/main/java/org/junit/jupiter/engine/descriptor/ClassTestDescriptor.java:63-66 @6f98fbf</t>
        </is>
      </c>
      <c r="G40" s="8" t="inlineStr">
        <is>
          <t>JupiterTestDescriptor fixes algorithms in final methods (getExecutionMode, getLegacyReportingName) and in copyIncludingDescendants, which calls the abstract primitive withUniqueId; subclasses override the hooks (getExplicitExecutionMode, getLegacyReportingBaseName, withUniqueId).</t>
        </is>
      </c>
      <c r="H40" s="8" t="inlineStr">
        <is>
          <t>preserved</t>
        </is>
      </c>
      <c r="I40" s="8" t="inlineStr">
        <is>
          <t>Not affected by CH03; participants unchanged.</t>
        </is>
      </c>
    </row>
    <row r="41">
      <c r="A41" s="8" t="inlineStr">
        <is>
          <t>Code after Change3</t>
        </is>
      </c>
      <c r="B41" s="8" t="inlineStr">
        <is>
          <t>Template Method</t>
        </is>
      </c>
      <c r="C41" s="8" t="inlineStr">
        <is>
          <t>Behavioral</t>
        </is>
      </c>
      <c r="D41" s="8" t="inlineStr">
        <is>
          <t>A5 Child Ordering Skeleton</t>
        </is>
      </c>
      <c r="E41" s="8" t="inlineStr">
        <is>
          <t>AbstractClass=org.junit.jupiter.engine.discovery.AbstractOrderingVisitor; TemplateMethod=org.junit.jupiter.engine.discovery.AbstractOrderingVisitor#orderChildrenTestDescriptors; PrimitiveOperation=org.junit.jupiter.engine.discovery.AbstractOrderingVisitor#shouldNonMatchingDescriptorsComeBeforeOrderedOnes; ConcreteClass=org.junit.jupiter.engine.discovery.ClassOrderingVisitor; ConcreteClass=org.junit.jupiter.engine.discovery.MethodOrderingVisitor</t>
        </is>
      </c>
      <c r="F41" s="8" t="inlineStr">
        <is>
          <t>junit-jupiter-engine/src/main/java/org/junit/jupiter/engine/discovery/AbstractOrderingVisitor.java:39-222 @6f98fbf; junit-jupiter-engine/src/main/java/org/junit/jupiter/engine/discovery/AbstractOrderingVisitor.java:72-119 @6f98fbf; junit-jupiter-engine/src/main/java/org/junit/jupiter/engine/discovery/AbstractOrderingVisitor.java:126-126 @6f98fbf; junit-jupiter-engine/src/main/java/org/junit/jupiter/engine/discovery/ClassOrderingVisitor.java:38-165 @6f98fbf; junit-jupiter-engine/src/main/java/org/junit/jupiter/engine/discovery/MethodOrderingVisitor.java:41-174 @6f98fbf</t>
        </is>
      </c>
      <c r="G41" s="8" t="inlineStr">
        <is>
          <t>AbstractOrderingVisitor.orderChildrenTestDescriptors runs a fixed ordering algorithm (select, wrap, sort, unwrap, merge) and asks the abstract hook shouldNonMatchingDescriptorsComeBeforeOrderedOnes, which ClassOrderingVisitor and MethodOrderingVisitor answer differently.</t>
        </is>
      </c>
      <c r="H41" s="8" t="inlineStr">
        <is>
          <t>preserved</t>
        </is>
      </c>
      <c r="I41" s="8" t="inlineStr">
        <is>
          <t>Not affected by CH03; participants unchanged.</t>
        </is>
      </c>
    </row>
    <row r="42">
      <c r="A42" s="8" t="inlineStr">
        <is>
          <t>Code after Change3</t>
        </is>
      </c>
      <c r="B42" s="8" t="inlineStr">
        <is>
          <t>Observer</t>
        </is>
      </c>
      <c r="C42" s="8" t="inlineStr">
        <is>
          <t>Behavioral</t>
        </is>
      </c>
      <c r="D42" s="8" t="inlineStr">
        <is>
          <t>A6 Discovery Event Notification</t>
        </is>
      </c>
      <c r="E42" s="8" t="inlineStr">
        <is>
          <t>Observer=org.junit.platform.launcher.LauncherDiscoveryListener; Observer (base)=org.junit.platform.engine.EngineDiscoveryListener; ConcreteObserver=org.junit.platform.launcher.core.DiscoveryIssueCollector; ConcreteObserver=org.junit.platform.launcher.core.DiscoveryIssueReportingDiscoveryListener; Subject (attach)=org.junit.platform.launcher.core.DefaultLauncher#registerLauncherDiscoveryListeners; Subject (notify)=org.junit.platform.launcher.core.EngineDiscoveryOrchestrator#discoverEngineRoot; Subject (notify, in engine)=org.junit.platform.engine.support.discovery.EngineDiscoveryRequestResolution; Multicaster=org.junit.platform.launcher.listeners.discovery.CompositeLauncherDiscoveryListener</t>
        </is>
      </c>
      <c r="F42" s="8" t="inlineStr">
        <is>
          <t>junit-platform-launcher/src/main/java/org/junit/platform/launcher/LauncherDiscoveryListener.java:42-91 @6f98fbf; junit-platform-engine/src/main/java/org/junit/platform/engine/EngineDiscoveryListener.java:31-67 @6f98fbf; junit-platform-launcher/src/main/java/org/junit/platform/launcher/core/DiscoveryIssueCollector.java:25-65 @6f98fbf; junit-platform-launcher/src/main/java/org/junit/platform/launcher/core/DiscoveryIssueReportingDiscoveryListener.java:49-131 @6f98fbf; junit-platform-launcher/src/main/java/org/junit/platform/launcher/core/DefaultLauncher.java:73-77 @6f98fbf; junit-platform-launcher/src/main/java/org/junit/platform/launcher/core/EngineDiscoveryOrchestrator.java:193-218 @6f98fbf; junit-platform-engine/src/main/java/org/junit/platform/engine/support/discovery/EngineDiscoveryRequestResolution.java:60-263 @6f98fbf; junit-platform-launcher/src/main/java/org/junit/platform/launcher/listeners/discovery/CompositeLauncherDiscoveryListener.java:29-67 @6f98fbf</t>
        </is>
      </c>
      <c r="G42" s="8" t="inlineStr">
        <is>
          <t>Discovery progress (launcher/engine discovery started and finished, selector processed, issues) is pushed to registered LauncherDiscoveryListeners that the orchestrator only knows by interface.</t>
        </is>
      </c>
      <c r="H42" s="8" t="inlineStr">
        <is>
          <t>preserved</t>
        </is>
      </c>
      <c r="I42" s="8" t="inlineStr">
        <is>
          <t>Not affected by CH03; participants unchanged. Line ranges updated because surrounding code in a participant file changed.</t>
        </is>
      </c>
    </row>
    <row r="43">
      <c r="A43" s="8" t="inlineStr">
        <is>
          <t>Code after Change3</t>
        </is>
      </c>
      <c r="B43" s="8" t="inlineStr">
        <is>
          <t>Adapter</t>
        </is>
      </c>
      <c r="C43" s="8" t="inlineStr">
        <is>
          <t>Structural</t>
        </is>
      </c>
      <c r="D43" s="8" t="inlineStr">
        <is>
          <t>A7 Orderer Descriptor Wrappers</t>
        </is>
      </c>
      <c r="E43" s="8" t="inlineStr">
        <is>
          <t>Target=org.junit.jupiter.api.ClassDescriptor; Target=org.junit.jupiter.api.MethodDescriptor; Adapter (base)=org.junit.jupiter.engine.discovery.AbstractAnnotatedDescriptorWrapper; Adapter=org.junit.jupiter.engine.discovery.DefaultClassDescriptor; Adapter=org.junit.jupiter.engine.discovery.DefaultMethodDescriptor; Adaptee=org.junit.jupiter.engine.descriptor.ClassBasedTestDescriptor; Adaptee=org.junit.jupiter.engine.descriptor.MethodBasedTestDescriptor; Client=org.junit.jupiter.engine.discovery.ClassOrderingVisitor</t>
        </is>
      </c>
      <c r="F43" s="8" t="inlineStr">
        <is>
          <t>junit-jupiter-api/src/main/java/org/junit/jupiter/api/ClassDescriptor.java:28-87 @6f98fbf; junit-jupiter-api/src/main/java/org/junit/jupiter/api/MethodDescriptor.java:29-90 @6f98fbf; junit-jupiter-engine/src/main/java/org/junit/jupiter/engine/discovery/AbstractAnnotatedDescriptorWrapper.java:28-65 @6f98fbf; junit-jupiter-engine/src/main/java/org/junit/jupiter/engine/discovery/DefaultClassDescriptor.java:23-39 @6f98fbf; junit-jupiter-engine/src/main/java/org/junit/jupiter/engine/discovery/DefaultMethodDescriptor.java:25-41 @6f98fbf; junit-jupiter-engine/src/main/java/org/junit/jupiter/engine/descriptor/ClassBasedTestDescriptor.java:89-601 @6f98fbf; junit-jupiter-engine/src/main/java/org/junit/jupiter/engine/descriptor/MethodBasedTestDescriptor.java:56-217 @6f98fbf; junit-jupiter-engine/src/main/java/org/junit/jupiter/engine/discovery/ClassOrderingVisitor.java:38-165 @6f98fbf</t>
        </is>
      </c>
      <c r="G43" s="8" t="inlineStr">
        <is>
          <t>User ClassOrderer/MethodOrderer code expects the public ClassDescriptor/MethodDescriptor API; the wrappers expose internal descriptors through it so internal classes never leak to user code.</t>
        </is>
      </c>
      <c r="H43" s="8" t="inlineStr">
        <is>
          <t>preserved</t>
        </is>
      </c>
      <c r="I43" s="8" t="inlineStr">
        <is>
          <t>Not affected by CH03; participants unchanged.</t>
        </is>
      </c>
    </row>
    <row r="44">
      <c r="A44" s="8" t="inlineStr">
        <is>
          <t>Code after Change3</t>
        </is>
      </c>
      <c r="B44" s="8" t="inlineStr">
        <is>
          <t>Template Method</t>
        </is>
      </c>
      <c r="C44" s="8" t="inlineStr">
        <is>
          <t>Behavioral</t>
        </is>
      </c>
      <c r="D44" s="8" t="inlineStr">
        <is>
          <t>B1 Hierarchical Engine Execution Skeleton</t>
        </is>
      </c>
      <c r="E44" s="8" t="inlineStr">
        <is>
          <t>AbstractClass=org.junit.platform.engine.support.hierarchical.HierarchicalTestEngine; TemplateMethod=org.junit.platform.engine.support.hierarchical.HierarchicalTestEngine#execute; PrimitiveOperation=org.junit.platform.engine.support.hierarchical.HierarchicalTestEngine#createExecutionContext; ConcreteClass=org.junit.jupiter.engine.JupiterTestEngine</t>
        </is>
      </c>
      <c r="F44" s="8" t="inlineStr">
        <is>
          <t>junit-platform-engine/src/main/java/org/junit/platform/engine/support/hierarchical/HierarchicalTestEngine.java:31-119 @6f98fbf; junit-platform-engine/src/main/java/org/junit/platform/engine/support/hierarchical/HierarchicalTestEngine.java:53-63 @6f98fbf; junit-platform-engine/src/main/java/org/junit/platform/engine/support/hierarchical/HierarchicalTestEngine.java:117-117 @6f98fbf; junit-jupiter-engine/src/main/java/org/junit/jupiter/engine/JupiterTestEngine.java:44-108 @6f98fbf</t>
        </is>
      </c>
      <c r="G44" s="8" t="inlineStr">
        <is>
          <t>final HierarchicalTestEngine.execute fixes the run order (executor service, context, collector factory, HierarchicalTestExecutor); JupiterTestEngine only supplies the steps. Overlaps B2.</t>
        </is>
      </c>
      <c r="H44" s="8" t="inlineStr">
        <is>
          <t>preserved</t>
        </is>
      </c>
      <c r="I44" s="8" t="inlineStr">
        <is>
          <t>Not affected by CH03; participants unchanged.</t>
        </is>
      </c>
    </row>
    <row r="45">
      <c r="A45" s="8" t="inlineStr">
        <is>
          <t>Code after Change3</t>
        </is>
      </c>
      <c r="B45" s="8" t="inlineStr">
        <is>
          <t>Factory Method</t>
        </is>
      </c>
      <c r="C45" s="8" t="inlineStr">
        <is>
          <t>Creational</t>
        </is>
      </c>
      <c r="D45" s="8" t="inlineStr">
        <is>
          <t>B2 Engine Collaborator Factory Methods</t>
        </is>
      </c>
      <c r="E45" s="8" t="inlineStr">
        <is>
          <t>Creator (factory method)=org.junit.platform.engine.support.hierarchical.HierarchicalTestEngine#createExecutorService; ConcreteCreator=org.junit.jupiter.engine.JupiterTestEngine#createExecutorService; ConcreteCreator=org.junit.jupiter.engine.JupiterTestEngine#createExecutionContext; ConcreteCreator=org.junit.jupiter.engine.JupiterTestEngine#createThrowableCollectorFactory; ConcreteProduct=org.junit.jupiter.engine.execution.JupiterEngineExecutionContext</t>
        </is>
      </c>
      <c r="F45" s="8" t="inlineStr">
        <is>
          <t>junit-platform-engine/src/main/java/org/junit/platform/engine/support/hierarchical/HierarchicalTestEngine.java:83-85 @6f98fbf; junit-jupiter-engine/src/main/java/org/junit/jupiter/engine/JupiterTestEngine.java:80-87 @6f98fbf; junit-jupiter-engine/src/main/java/org/junit/jupiter/engine/JupiterTestEngine.java:90-93 @6f98fbf; junit-jupiter-engine/src/main/java/org/junit/jupiter/engine/JupiterTestEngine.java:99-101 @6f98fbf; junit-jupiter-engine/src/main/java/org/junit/jupiter/engine/execution/JupiterEngineExecutionContext.java:30-209 @6f98fbf</t>
        </is>
      </c>
      <c r="G45" s="8" t="inlineStr">
        <is>
          <t>The template in B1 asks overridable create* methods which objects to use; JupiterTestEngine overrides them to choose a parallel/same-thread executor, its JupiterEngineExecutionContext and its throwable-collector factory. Overlaps B1.</t>
        </is>
      </c>
      <c r="H45" s="8" t="inlineStr">
        <is>
          <t>preserved</t>
        </is>
      </c>
      <c r="I45" s="8" t="inlineStr">
        <is>
          <t>Not affected by CH03; participants unchanged.</t>
        </is>
      </c>
    </row>
    <row r="46">
      <c r="A46" s="8" t="inlineStr">
        <is>
          <t>Code after Change3</t>
        </is>
      </c>
      <c r="B46" s="8" t="inlineStr">
        <is>
          <t>Strategy</t>
        </is>
      </c>
      <c r="C46" s="8" t="inlineStr">
        <is>
          <t>Behavioral</t>
        </is>
      </c>
      <c r="D46" s="8" t="inlineStr">
        <is>
          <t>B3 Test Executor Services</t>
        </is>
      </c>
      <c r="E46" s="8" t="inlineStr">
        <is>
          <t>Strategy=org.junit.platform.engine.support.hierarchical.HierarchicalTestExecutorService; ConcreteStrategy=org.junit.platform.engine.support.hierarchical.SameThreadHierarchicalTestExecutorService; ConcreteStrategy=org.junit.platform.engine.support.hierarchical.ForkJoinPoolHierarchicalTestExecutorService; ConcreteStrategy=org.junit.platform.engine.support.hierarchical.WorkerThreadPoolHierarchicalTestExecutorService; Context=org.junit.platform.engine.support.hierarchical.HierarchicalTestExecutor; Context=org.junit.platform.engine.support.hierarchical.NodeTestTask#executeRecursively</t>
        </is>
      </c>
      <c r="F46" s="8" t="inlineStr">
        <is>
          <t>junit-platform-engine/src/main/java/org/junit/platform/engine/support/hierarchical/HierarchicalTestExecutorService.java:34-118 @6f98fbf; junit-platform-engine/src/main/java/org/junit/platform/engine/support/hierarchical/SameThreadHierarchicalTestExecutorService.java:29-50 @6f98fbf; junit-platform-engine/src/main/java/org/junit/platform/engine/support/hierarchical/ForkJoinPoolHierarchicalTestExecutorService.java:51-331 @6f98fbf; junit-platform-engine/src/main/java/org/junit/platform/engine/support/hierarchical/WorkerThreadPoolHierarchicalTestExecutorService.java:70-901 @6f98fbf; junit-platform-engine/src/main/java/org/junit/platform/engine/support/hierarchical/HierarchicalTestExecutor.java:36-71 @6f98fbf; junit-platform-engine/src/main/java/org/junit/platform/engine/support/hierarchical/NodeTestTask.java:157-189 @6f98fbf</t>
        </is>
      </c>
      <c r="G46" s="8" t="inlineStr">
        <is>
          <t>Sequential vs parallel scheduling is swappable behind HierarchicalTestExecutorService; NodeTestTask and HierarchicalTestExecutor only call submit/invokeAll.</t>
        </is>
      </c>
      <c r="H46" s="8" t="inlineStr">
        <is>
          <t>preserved</t>
        </is>
      </c>
      <c r="I46" s="8" t="inlineStr">
        <is>
          <t>Not affected by CH03; participants unchanged.</t>
        </is>
      </c>
    </row>
    <row r="47">
      <c r="A47" s="8" t="inlineStr">
        <is>
          <t>Code after Change3</t>
        </is>
      </c>
      <c r="B47" s="8" t="inlineStr">
        <is>
          <t>Strategy</t>
        </is>
      </c>
      <c r="C47" s="8" t="inlineStr">
        <is>
          <t>Behavioral</t>
        </is>
      </c>
      <c r="D47" s="8" t="inlineStr">
        <is>
          <t>B4 Parallelism Configuration Strategy</t>
        </is>
      </c>
      <c r="E47" s="8" t="inlineStr">
        <is>
          <t>Strategy=org.junit.platform.engine.support.hierarchical.ParallelExecutionConfigurationStrategy; ConcreteStrategy (enum FIXED/DYNAMIC/CUSTOM)=org.junit.platform.engine.support.hierarchical.DefaultParallelExecutionConfigurationStrategy; Selection=org.junit.platform.engine.support.hierarchical.DefaultParallelExecutionConfigurationStrategy#getStrategy; Context=org.junit.platform.engine.support.hierarchical.ParallelHierarchicalTestExecutorServiceFactory</t>
        </is>
      </c>
      <c r="F47" s="8" t="inlineStr">
        <is>
          <t>junit-platform-engine/src/main/java/org/junit/platform/engine/support/hierarchical/ParallelExecutionConfigurationStrategy.java:25-33 @6f98fbf; junit-platform-engine/src/main/java/org/junit/platform/engine/support/hierarchical/DefaultParallelExecutionConfigurationStrategy.java:33-228 @6f98fbf; junit-platform-engine/src/main/java/org/junit/platform/engine/support/hierarchical/DefaultParallelExecutionConfigurationStrategy.java:223-226 @6f98fbf; junit-platform-engine/src/main/java/org/junit/platform/engine/support/hierarchical/ParallelHierarchicalTestExecutorServiceFactory.java:33-123 @6f98fbf</t>
        </is>
      </c>
      <c r="G47" s="8" t="inlineStr">
        <is>
          <t>How parallelism is computed (FIXED, DYNAMIC from CPU count, CUSTOM user class) is chosen by configuration; each enum constant implements createConfiguration.</t>
        </is>
      </c>
      <c r="H47" s="8" t="inlineStr">
        <is>
          <t>preserved</t>
        </is>
      </c>
      <c r="I47" s="8" t="inlineStr">
        <is>
          <t>Not affected by CH03; participants unchanged.</t>
        </is>
      </c>
    </row>
    <row r="48">
      <c r="A48" s="8" t="inlineStr">
        <is>
          <t>Code after Change3</t>
        </is>
      </c>
      <c r="B48" s="8" t="inlineStr">
        <is>
          <t>Decorator</t>
        </is>
      </c>
      <c r="C48" s="8" t="inlineStr">
        <is>
          <t>Structural</t>
        </is>
      </c>
      <c r="D48" s="8" t="inlineStr">
        <is>
          <t>B5 Intercepting Launcher Wrappers</t>
        </is>
      </c>
      <c r="E48" s="8" t="inlineStr">
        <is>
          <t>Component=org.junit.platform.launcher.Launcher; ConcreteComponent=org.junit.platform.launcher.core.DefaultLauncher; Decorator=org.junit.platform.launcher.core.DelegatingLauncher; ConcreteDecorator=org.junit.platform.launcher.core.InterceptingLauncher; Assembler=org.junit.platform.launcher.core.DefaultLauncherSession</t>
        </is>
      </c>
      <c r="F48" s="8" t="inlineStr">
        <is>
          <t>junit-platform-launcher/src/main/java/org/junit/platform/launcher/Launcher.java:53-164 @6f98fbf; junit-platform-launcher/src/main/java/org/junit/platform/launcher/core/DefaultLauncher.java:43-145 @6f98fbf; junit-platform-launcher/src/main/java/org/junit/platform/launcher/core/DelegatingLauncher.java:24-73 @6f98fbf; junit-platform-launcher/src/main/java/org/junit/platform/launcher/core/InterceptingLauncher.java:25-70 @6f98fbf; junit-platform-launcher/src/main/java/org/junit/platform/launcher/core/DefaultLauncherSession.java:35-159 @6f98fbf</t>
        </is>
      </c>
      <c r="G48" s="8" t="inlineStr">
        <is>
          <t>The session's launcher is DelegatingLauncher &gt; InterceptingLauncher &gt; DefaultLauncher; each wrapper implements Launcher and forwards, InterceptingLauncher adds LauncherInterceptor around every call.</t>
        </is>
      </c>
      <c r="H48" s="8" t="inlineStr">
        <is>
          <t>preserved</t>
        </is>
      </c>
      <c r="I48" s="8" t="inlineStr">
        <is>
          <t>Not affected by CH03; participants unchanged.</t>
        </is>
      </c>
    </row>
    <row r="49">
      <c r="A49" s="8" t="inlineStr">
        <is>
          <t>Code after Change3</t>
        </is>
      </c>
      <c r="B49" s="8" t="inlineStr">
        <is>
          <t>Decorator</t>
        </is>
      </c>
      <c r="C49" s="8" t="inlineStr">
        <is>
          <t>Structural</t>
        </is>
      </c>
      <c r="D49" s="8" t="inlineStr">
        <is>
          <t>B6 Engine Listener Wrappers</t>
        </is>
      </c>
      <c r="E49" s="8" t="inlineStr">
        <is>
          <t>Component=org.junit.platform.engine.EngineExecutionListener; Decorator=org.junit.platform.launcher.core.DelegatingEngineExecutionListener; ConcreteDecorator=org.junit.platform.launcher.core.StackTracePruningEngineExecutionListener; ConcreteDecorator=org.junit.platform.launcher.core.OutcomeDelayingEngineExecutionListener; ConcreteDecorator=org.junit.platform.launcher.core.MemoryCleanupListener; Assembler=org.junit.platform.launcher.core.EngineExecutionOrchestrator#executeEngine</t>
        </is>
      </c>
      <c r="F49" s="8" t="inlineStr">
        <is>
          <t>junit-platform-engine/src/main/java/org/junit/platform/engine/EngineExecutionListener.java:34-164 @6f98fbf; junit-platform-launcher/src/main/java/org/junit/platform/launcher/core/DelegatingEngineExecutionListener.java:22-59 @6f98fbf; junit-platform-launcher/src/main/java/org/junit/platform/launcher/core/StackTracePruningEngineExecutionListener.java:31-70 @6f98fbf; junit-platform-launcher/src/main/java/org/junit/platform/launcher/core/OutcomeDelayingEngineExecutionListener.java:28-101 @6f98fbf; junit-platform-launcher/src/main/java/org/junit/platform/launcher/core/MemoryCleanupListener.java:30-93 @6f98fbf; junit-platform-launcher/src/main/java/org/junit/platform/launcher/core/EngineExecutionOrchestrator.java:248-275 @6f98fbf</t>
        </is>
      </c>
      <c r="G49" s="8" t="inlineStr">
        <is>
          <t>EngineExecutionOrchestrator stacks independent wrappers (stack-trace pruning, outcome delaying, memory cleanup) on the engine listener; each forwards and adds one behaviour. Also part of Area C.</t>
        </is>
      </c>
      <c r="H49" s="8" t="inlineStr">
        <is>
          <t>preserved</t>
        </is>
      </c>
      <c r="I49" s="8" t="inlineStr">
        <is>
          <t>Not affected by CH03; participants unchanged.</t>
        </is>
      </c>
    </row>
    <row r="50">
      <c r="A50" s="8" t="inlineStr">
        <is>
          <t>Code after Change3</t>
        </is>
      </c>
      <c r="B50" s="8" t="inlineStr">
        <is>
          <t>Adapter</t>
        </is>
      </c>
      <c r="C50" s="8" t="inlineStr">
        <is>
          <t>Structural</t>
        </is>
      </c>
      <c r="D50" s="8" t="inlineStr">
        <is>
          <t>B7 Engine-to-Launcher Listener Adapter</t>
        </is>
      </c>
      <c r="E50" s="8" t="inlineStr">
        <is>
          <t>Target=org.junit.platform.engine.EngineExecutionListener; Adapter=org.junit.platform.launcher.core.ExecutionListenerAdapter; Adaptee=org.junit.platform.launcher.TestExecutionListener; Client (wiring)=org.junit.platform.launcher.core.EngineExecutionOrchestrator#buildEngineExecutionListener</t>
        </is>
      </c>
      <c r="F50" s="8" t="inlineStr">
        <is>
          <t>junit-platform-engine/src/main/java/org/junit/platform/engine/EngineExecutionListener.java:34-164 @6f98fbf; junit-platform-launcher/src/main/java/org/junit/platform/launcher/core/ExecutionListenerAdapter.java:28-74 @6f98fbf; junit-platform-launcher/src/main/java/org/junit/platform/launcher/TestExecutionListener.java:76-203 @6f98fbf; junit-platform-launcher/src/main/java/org/junit/platform/launcher/core/EngineExecutionOrchestrator.java:141-152 @6f98fbf</t>
        </is>
      </c>
      <c r="G50" s="8" t="inlineStr">
        <is>
          <t>Engines report with mutable TestDescriptors; ExecutionListenerAdapter implements EngineExecutionListener and forwards to a TestExecutionListener with immutable TestIdentifiers looked up in the TestPlan. Also part of Area C.</t>
        </is>
      </c>
      <c r="H50" s="8" t="inlineStr">
        <is>
          <t>preserved</t>
        </is>
      </c>
      <c r="I50" s="8" t="inlineStr">
        <is>
          <t>Not affected by CH03; participants unchanged.</t>
        </is>
      </c>
    </row>
    <row r="51">
      <c r="A51" s="8" t="inlineStr">
        <is>
          <t>Code after Change3</t>
        </is>
      </c>
      <c r="B51" s="8" t="inlineStr">
        <is>
          <t>Observer</t>
        </is>
      </c>
      <c r="C51" s="8" t="inlineStr">
        <is>
          <t>Behavioral</t>
        </is>
      </c>
      <c r="D51" s="8" t="inlineStr">
        <is>
          <t>B8 Execution Event Notification</t>
        </is>
      </c>
      <c r="E51" s="8" t="inlineStr">
        <is>
          <t>Observer=org.junit.platform.engine.EngineExecutionListener; ConcreteObserver=org.junit.platform.launcher.core.OutcomeDelayingEngineExecutionListener; ConcreteObserver=org.junit.platform.launcher.core.ExecutionListenerAdapter; Subject (notify)=org.junit.platform.engine.support.hierarchical.NodeTestTask#executeRecursively; Subject (notify)=org.junit.platform.engine.support.hierarchical.NodeTestTask#reportCompletion</t>
        </is>
      </c>
      <c r="F51" s="8" t="inlineStr">
        <is>
          <t>junit-platform-engine/src/main/java/org/junit/platform/engine/EngineExecutionListener.java:34-164 @6f98fbf; junit-platform-launcher/src/main/java/org/junit/platform/launcher/core/OutcomeDelayingEngineExecutionListener.java:28-101 @6f98fbf; junit-platform-launcher/src/main/java/org/junit/platform/launcher/core/ExecutionListenerAdapter.java:28-74 @6f98fbf; junit-platform-engine/src/main/java/org/junit/platform/engine/support/hierarchical/NodeTestTask.java:157-189 @6f98fbf; junit-platform-engine/src/main/java/org/junit/platform/engine/support/hierarchical/NodeTestTask.java:195-226 @6f98fbf</t>
        </is>
      </c>
      <c r="G51" s="8" t="inlineStr">
        <is>
          <t>During execution NodeTestTask pushes executionStarted/Skipped/Finished to the EngineExecutionListener from the ExecutionRequest, without knowing who listens. Also part of Area C.</t>
        </is>
      </c>
      <c r="H51" s="8" t="inlineStr">
        <is>
          <t>preserved</t>
        </is>
      </c>
      <c r="I51" s="8" t="inlineStr">
        <is>
          <t>Not affected by CH03; participants unchanged.</t>
        </is>
      </c>
    </row>
    <row r="52">
      <c r="A52" s="8" t="inlineStr">
        <is>
          <t>Code after Change3</t>
        </is>
      </c>
      <c r="B52" s="8" t="inlineStr">
        <is>
          <t>Command</t>
        </is>
      </c>
      <c r="C52" s="8" t="inlineStr">
        <is>
          <t>Behavioral</t>
        </is>
      </c>
      <c r="D52" s="8" t="inlineStr">
        <is>
          <t>B9 Node Execution Tasks</t>
        </is>
      </c>
      <c r="E52" s="8" t="inlineStr">
        <is>
          <t>Command=org.junit.platform.engine.support.hierarchical.HierarchicalTestExecutorService.TestTask; ConcreteCommand=org.junit.platform.engine.support.hierarchical.NodeTestTask; Invoker=org.junit.platform.engine.support.hierarchical.SameThreadHierarchicalTestExecutorService; Invoker=org.junit.platform.engine.support.hierarchical.ForkJoinPoolHierarchicalTestExecutorService</t>
        </is>
      </c>
      <c r="F52" s="8" t="inlineStr">
        <is>
          <t>junit-platform-engine/src/main/java/org/junit/platform/engine/support/hierarchical/HierarchicalTestExecutorService.java:88-116 @6f98fbf; junit-platform-engine/src/main/java/org/junit/platform/engine/support/hierarchical/NodeTestTask.java:46-307 @6f98fbf; junit-platform-engine/src/main/java/org/junit/platform/engine/support/hierarchical/SameThreadHierarchicalTestExecutorService.java:29-50 @6f98fbf; junit-platform-engine/src/main/java/org/junit/platform/engine/support/hierarchical/ForkJoinPoolHierarchicalTestExecutorService.java:51-331 @6f98fbf</t>
        </is>
      </c>
      <c r="G52" s="8" t="inlineStr">
        <is>
          <t>Each node's work is packaged as a TestTask object (execute + execution mode + lock) and handed to an executor service that decides when and on which thread to run it.</t>
        </is>
      </c>
      <c r="H52" s="8" t="inlineStr">
        <is>
          <t>preserved</t>
        </is>
      </c>
      <c r="I52" s="8" t="inlineStr">
        <is>
          <t>Not affected by CH03; participants unchanged.</t>
        </is>
      </c>
    </row>
    <row r="53">
      <c r="A53" s="8" t="inlineStr">
        <is>
          <t>Code after Change3</t>
        </is>
      </c>
      <c r="B53" s="8" t="inlineStr">
        <is>
          <t>Null Object</t>
        </is>
      </c>
      <c r="C53" s="8" t="inlineStr">
        <is>
          <t>Behavioral</t>
        </is>
      </c>
      <c r="D53" s="8" t="inlineStr">
        <is>
          <t>B10 No-op Node</t>
        </is>
      </c>
      <c r="E53" s="8" t="inlineStr">
        <is>
          <t>AbstractObject=org.junit.platform.engine.support.hierarchical.Node; NullObject provider=org.junit.platform.engine.support.hierarchical.NodeUtils#asNode; Client=org.junit.platform.engine.support.hierarchical.NodeTestTask</t>
        </is>
      </c>
      <c r="F53" s="8" t="inlineStr">
        <is>
          <t>junit-platform-engine/src/main/java/org/junit/platform/engine/support/hierarchical/Node.java:38-381 @6f98fbf; junit-platform-engine/src/main/java/org/junit/platform/engine/support/hierarchical/NodeUtils.java:25-27 @6f98fbf; junit-platform-engine/src/main/java/org/junit/platform/engine/support/hierarchical/NodeTestTask.java:46-307 @6f98fbf</t>
        </is>
      </c>
      <c r="G53" s="8" t="inlineStr">
        <is>
          <t>A TestDescriptor that is not a Node gets a do-nothing Node from NodeUtils.asNode, so NodeTestTask never needs null checks.</t>
        </is>
      </c>
      <c r="H53" s="8" t="inlineStr">
        <is>
          <t>preserved</t>
        </is>
      </c>
      <c r="I53" s="8" t="inlineStr">
        <is>
          <t>Not affected by CH03; participants unchanged.</t>
        </is>
      </c>
    </row>
    <row r="54">
      <c r="A54" s="8" t="inlineStr">
        <is>
          <t>Code after Change3</t>
        </is>
      </c>
      <c r="B54" s="8" t="inlineStr">
        <is>
          <t>Observer</t>
        </is>
      </c>
      <c r="C54" s="8" t="inlineStr">
        <is>
          <t>Behavioral</t>
        </is>
      </c>
      <c r="D54" s="8" t="inlineStr">
        <is>
          <t>C1 Test Execution Listeners</t>
        </is>
      </c>
      <c r="E54" s="8" t="inlineStr">
        <is>
          <t>Observer=org.junit.platform.launcher.TestExecutionListener; ConcreteObserver=org.junit.platform.launcher.listeners.SummaryGeneratingListener; ConcreteObserver=org.junit.platform.launcher.listeners.LoggingListener; ConcreteObserver=org.junit.platform.launcher.listeners.UniqueIdTrackingListener; ConcreteObserver=org.junit.platform.launcher.jfr.FlightRecordingExecutionListener; ConcreteObserver=org.junit.platform.launcher.core.StreamInterceptingTestExecutionListener; Subject (attach)=org.junit.platform.launcher.core.DefaultLauncher#registerTestExecutionListeners; Subject (notify)=org.junit.platform.launcher.core.CompositeTestExecutionListener#notifyEach</t>
        </is>
      </c>
      <c r="F54" s="8" t="inlineStr">
        <is>
          <t>junit-platform-launcher/src/main/java/org/junit/platform/launcher/TestExecutionListener.java:76-203 @6f98fbf; junit-platform-launcher/src/main/java/org/junit/platform/launcher/listeners/SummaryGeneratingListener.java:36-148 @6f98fbf; junit-platform-launcher/src/main/java/org/junit/platform/launcher/listeners/LoggingListener.java:39-132 @6f98fbf; junit-platform-launcher/src/main/java/org/junit/platform/launcher/listeners/UniqueIdTrackingListener.java:94-217 @6f98fbf; junit-platform-launcher/src/main/java/org/junit/platform/launcher/jfr/FlightRecordingExecutionListener.java:43-225 @6f98fbf; junit-platform-launcher/src/main/java/org/junit/platform/launcher/core/StreamInterceptingTestExecutionListener.java:35-99 @6f98fbf; junit-platform-launcher/src/main/java/org/junit/platform/launcher/core/DefaultLauncher.java:80-84 @6f98fbf; junit-platform-launcher/src/main/java/org/junit/platform/launcher/core/CompositeTestExecutionListener.java:104-116 @6f98fbf</t>
        </is>
      </c>
      <c r="G54" s="8" t="inlineStr">
        <is>
          <t>Client-side observers (IDE, summary, logging, unique-id file, JFR, stdout capture) register three ways and are notified of the same run events; notifyEach isolates each listener's failure. Different from B8 (engine side).</t>
        </is>
      </c>
      <c r="H54" s="8" t="inlineStr">
        <is>
          <t>preserved</t>
        </is>
      </c>
      <c r="I54" s="8" t="inlineStr">
        <is>
          <t>Not affected by CH03; participants unchanged.</t>
        </is>
      </c>
    </row>
    <row r="55">
      <c r="A55" s="8" t="inlineStr">
        <is>
          <t>Code after Change3</t>
        </is>
      </c>
      <c r="B55" s="8" t="inlineStr">
        <is>
          <t>Observer</t>
        </is>
      </c>
      <c r="C55" s="8" t="inlineStr">
        <is>
          <t>Behavioral</t>
        </is>
      </c>
      <c r="D55" s="8" t="inlineStr">
        <is>
          <t>C2 Launcher Session Notification</t>
        </is>
      </c>
      <c r="E55" s="8" t="inlineStr">
        <is>
          <t>Observer=org.junit.platform.launcher.LauncherSessionListener; Subject=org.junit.platform.launcher.core.DefaultLauncherSession; Multicaster=org.junit.platform.launcher.listeners.session.CompositeLauncherSessionListener</t>
        </is>
      </c>
      <c r="F55" s="8" t="inlineStr">
        <is>
          <t>junit-platform-launcher/src/main/java/org/junit/platform/launcher/LauncherSessionListener.java:43-67 @6f98fbf; junit-platform-launcher/src/main/java/org/junit/platform/launcher/core/DefaultLauncherSession.java:35-159 @6f98fbf; junit-platform-launcher/src/main/java/org/junit/platform/launcher/listeners/session/CompositeLauncherSessionListener.java:24-41 @6f98fbf</t>
        </is>
      </c>
      <c r="G55" s="8" t="inlineStr">
        <is>
          <t>LauncherSessionListeners are told when a launcher session opens and closes by DefaultLauncherSession.</t>
        </is>
      </c>
      <c r="H55" s="8" t="inlineStr">
        <is>
          <t>preserved</t>
        </is>
      </c>
      <c r="I55" s="8" t="inlineStr">
        <is>
          <t>Not affected by CH03; participants unchanged.</t>
        </is>
      </c>
    </row>
    <row r="56">
      <c r="A56" s="8" t="inlineStr">
        <is>
          <t>Code after Change3</t>
        </is>
      </c>
      <c r="B56" s="8" t="inlineStr">
        <is>
          <t>Strategy</t>
        </is>
      </c>
      <c r="C56" s="8" t="inlineStr">
        <is>
          <t>Behavioral</t>
        </is>
      </c>
      <c r="D56" s="8" t="inlineStr">
        <is>
          <t>C3 Listener Notification Order</t>
        </is>
      </c>
      <c r="E56" s="8" t="inlineStr">
        <is>
          <t>Strategy + ConcreteStrategies (ORIGINAL, REVERSED)=org.junit.platform.launcher.core.IterationOrder; Context=org.junit.platform.launcher.core.CompositeTestExecutionListener#notifyEach; Context=org.junit.platform.launcher.core.CompositeEngineExecutionListener#notifyEach</t>
        </is>
      </c>
      <c r="F56" s="8" t="inlineStr">
        <is>
          <t>junit-platform-launcher/src/main/java/org/junit/platform/launcher/core/IterationOrder.java:18-35 @6f98fbf; junit-platform-launcher/src/main/java/org/junit/platform/launcher/core/CompositeTestExecutionListener.java:104-116 @6f98fbf; junit-platform-launcher/src/main/java/org/junit/platform/launcher/core/CompositeEngineExecutionListener.java:78-90 @6f98fbf</t>
        </is>
      </c>
      <c r="G56" s="8" t="inlineStr">
        <is>
          <t>The order in which listeners are notified is an interchangeable algorithm: IterationOrder.ORIGINAL for started events, REVERSED for finished events, used by notifyEach.</t>
        </is>
      </c>
      <c r="H56" s="8" t="inlineStr">
        <is>
          <t>preserved</t>
        </is>
      </c>
      <c r="I56" s="8" t="inlineStr">
        <is>
          <t>Not affected by CH03; participants unchanged.</t>
        </is>
      </c>
    </row>
    <row r="57">
      <c r="A57" s="8" t="inlineStr">
        <is>
          <t>Code after Change3</t>
        </is>
      </c>
      <c r="B57" s="8" t="inlineStr">
        <is>
          <t>Strategy</t>
        </is>
      </c>
      <c r="C57" s="8" t="inlineStr">
        <is>
          <t>Behavioral</t>
        </is>
      </c>
      <c r="D57" s="8" t="inlineStr">
        <is>
          <t>C4 Pluggable Log Sink</t>
        </is>
      </c>
      <c r="E57" s="8" t="inlineStr">
        <is>
          <t>Strategy=java.util.function.BiConsumer; ConcreteStrategy factory=org.junit.platform.launcher.listeners.LoggingListener#forJavaUtilLogging; ConcreteStrategy factory=org.junit.platform.launcher.listeners.LoggingListener#forBiConsumer; Context=org.junit.platform.launcher.listeners.LoggingListener</t>
        </is>
      </c>
      <c r="F57" s="8" t="inlineStr">
        <is>
          <t>java.util.function.BiConsumer (JDK); junit-platform-launcher/src/main/java/org/junit/platform/launcher/listeners/LoggingListener.java:49-51 @6f98fbf; junit-platform-launcher/src/main/java/org/junit/platform/launcher/listeners/LoggingListener.java:82-84 @6f98fbf; junit-platform-launcher/src/main/java/org/junit/platform/launcher/listeners/LoggingListener.java:39-132 @6f98fbf</t>
        </is>
      </c>
      <c r="G57" s="8" t="inlineStr">
        <is>
          <t>LoggingListener's behaviour is fixed but where log lines go is an injected BiConsumer (java.util.logging via forJavaUtilLogging, or any sink via forBiConsumer).</t>
        </is>
      </c>
      <c r="H57" s="8" t="inlineStr">
        <is>
          <t>preserved</t>
        </is>
      </c>
      <c r="I57" s="8" t="inlineStr">
        <is>
          <t>Not affected by CH03; participants unchanged.</t>
        </is>
      </c>
    </row>
    <row r="58">
      <c r="A58" s="8" t="inlineStr">
        <is>
          <t>Code after Change3</t>
        </is>
      </c>
      <c r="B58" s="8" t="inlineStr">
        <is>
          <t>Adapter</t>
        </is>
      </c>
      <c r="C58" s="8" t="inlineStr">
        <is>
          <t>Structural</t>
        </is>
      </c>
      <c r="D58" s="8" t="inlineStr">
        <is>
          <t>C5 Test Reporter Adapter</t>
        </is>
      </c>
      <c r="E58" s="8" t="inlineStr">
        <is>
          <t>Target=org.junit.jupiter.api.TestReporter; Adapter=org.junit.jupiter.engine.extension.DefaultTestReporter; Adaptee=org.junit.jupiter.engine.descriptor.AbstractExtensionContext#publishReportEntry</t>
        </is>
      </c>
      <c r="F58" s="8" t="inlineStr">
        <is>
          <t>junit-jupiter-api/src/main/java/org/junit/jupiter/api/TestReporter.java:47-231 @6f98fbf; junit-jupiter-engine/src/main/java/org/junit/jupiter/engine/extension/DefaultTestReporter.java:24-47 @6f98fbf; junit-jupiter-engine/src/main/java/org/junit/jupiter/engine/descriptor/AbstractExtensionContext.java:141-143 @6f98fbf</t>
        </is>
      </c>
      <c r="G58" s="8" t="inlineStr">
        <is>
          <t>Tests call the simple TestReporter API; DefaultTestReporter implements it by calling ExtensionContext.publishReportEntry, which turns the map into a ReportEntry event.</t>
        </is>
      </c>
      <c r="H58" s="8" t="inlineStr">
        <is>
          <t>preserved</t>
        </is>
      </c>
      <c r="I58" s="8" t="inlineStr">
        <is>
          <t>Not affected by CH03; participants unchanged.</t>
        </is>
      </c>
    </row>
    <row r="59">
      <c r="A59" s="8" t="inlineStr">
        <is>
          <t>Code after Change3</t>
        </is>
      </c>
      <c r="B59" s="8" t="inlineStr">
        <is>
          <t>Decorator</t>
        </is>
      </c>
      <c r="C59" s="8" t="inlineStr">
        <is>
          <t>Structural</t>
        </is>
      </c>
      <c r="D59" s="8" t="inlineStr">
        <is>
          <t>C6 Captured Output Stream</t>
        </is>
      </c>
      <c r="E59" s="8" t="inlineStr">
        <is>
          <t>Component=java.io.PrintStream; ConcreteDecorator=org.junit.platform.launcher.core.StreamInterceptor; Installer / client=org.junit.platform.launcher.core.StreamInterceptingTestExecutionListener</t>
        </is>
      </c>
      <c r="F59" s="8" t="inlineStr">
        <is>
          <t>java.io.PrintStream (JDK); junit-platform-launcher/src/main/java/org/junit/platform/launcher/core/StreamInterceptor.java:27-145 @6f98fbf; junit-platform-launcher/src/main/java/org/junit/platform/launcher/core/StreamInterceptingTestExecutionListener.java:35-99 @6f98fbf</t>
        </is>
      </c>
      <c r="G59" s="8" t="inlineStr">
        <is>
          <t>StreamInterceptor extends PrintStream, wraps System.out/err, copies every write into a per-thread buffer and still forwards to the original stream (super.write).</t>
        </is>
      </c>
      <c r="H59" s="8" t="inlineStr">
        <is>
          <t>preserved</t>
        </is>
      </c>
      <c r="I59" s="8" t="inlineStr">
        <is>
          <t>Not affected by CH03; participants unchanged.</t>
        </is>
      </c>
    </row>
    <row r="60">
      <c r="A60" s="8" t="inlineStr">
        <is>
          <t>Code after Change3</t>
        </is>
      </c>
      <c r="B60" s="8" t="inlineStr">
        <is>
          <t>Null Object</t>
        </is>
      </c>
      <c r="C60" s="8" t="inlineStr">
        <is>
          <t>Behavioral</t>
        </is>
      </c>
      <c r="D60" s="8" t="inlineStr">
        <is>
          <t>C7 No-op Listeners</t>
        </is>
      </c>
      <c r="E60" s="8" t="inlineStr">
        <is>
          <t>NullObject holder=org.junit.platform.engine.EngineExecutionListener; NullObject holder=org.junit.platform.launcher.LauncherSessionListener; Client=org.junit.platform.launcher.listeners.session.LauncherSessionListeners</t>
        </is>
      </c>
      <c r="F60" s="8" t="inlineStr">
        <is>
          <t>junit-platform-engine/src/main/java/org/junit/platform/engine/EngineExecutionListener.java:34-164 @6f98fbf; junit-platform-launcher/src/main/java/org/junit/platform/launcher/LauncherSessionListener.java:43-67 @6f98fbf; junit-platform-launcher/src/main/java/org/junit/platform/launcher/listeners/session/LauncherSessionListeners.java:28-45 @6f98fbf</t>
        </is>
      </c>
      <c r="G60" s="8" t="inlineStr">
        <is>
          <t>EngineExecutionListener.NOOP and LauncherSessionListener.NOOP stand in for 'no listener' so callers never check for null; LauncherSessionListeners returns NOOP for an empty list.</t>
        </is>
      </c>
      <c r="H60" s="8" t="inlineStr">
        <is>
          <t>preserved</t>
        </is>
      </c>
      <c r="I60" s="8" t="inlineStr">
        <is>
          <t>Not affected by CH03; participants unchanged.</t>
        </is>
      </c>
    </row>
    <row r="61">
      <c r="A61" s="8" t="inlineStr">
        <is>
          <t>Code after Change3</t>
        </is>
      </c>
      <c r="B61" s="8" t="inlineStr">
        <is>
          <t>Strategy</t>
        </is>
      </c>
      <c r="C61" s="8" t="inlineStr">
        <is>
          <t>Behavioral</t>
        </is>
      </c>
      <c r="D61" s="8" t="inlineStr">
        <is>
          <t>D1 Temp Directory Creation</t>
        </is>
      </c>
      <c r="E61" s="8" t="inlineStr">
        <is>
          <t>Strategy=org.junit.jupiter.api.io.TempDirFactory; ConcreteStrategy=org.junit.jupiter.api.io.TempDirFactory.Standard; Selection=org.junit.jupiter.engine.extension.TempDirectory#determineTempDirFactory; Context=org.junit.jupiter.engine.extension.TempDirectory</t>
        </is>
      </c>
      <c r="F61" s="8" t="inlineStr">
        <is>
          <t>junit-jupiter-api/src/main/java/org/junit/jupiter/api/io/TempDirFactory.java:49-100 @6f98fbf; junit-jupiter-api/src/main/java/org/junit/jupiter/api/io/TempDirFactory.java:83-98 @6f98fbf; junit-jupiter-engine/src/main/java/org/junit/jupiter/engine/extension/TempDirectory.java:194-200 @6f98fbf; junit-jupiter-engine/src/main/java/org/junit/jupiter/engine/extension/TempDirectory.java:72-359 @6f98fbf</t>
        </is>
      </c>
      <c r="G61" s="8" t="inlineStr">
        <is>
          <t>How a @TempDir directory is created is a TempDirFactory chosen from @TempDir(factory) or the configuration; TempDirFactory.Standard is the default.</t>
        </is>
      </c>
      <c r="H61" s="8" t="inlineStr">
        <is>
          <t>preserved</t>
        </is>
      </c>
      <c r="I61" s="8" t="inlineStr">
        <is>
          <t>Not affected by CH03; participants unchanged.</t>
        </is>
      </c>
    </row>
    <row r="62">
      <c r="A62" s="8" t="inlineStr">
        <is>
          <t>Code after Change3</t>
        </is>
      </c>
      <c r="B62" s="8" t="inlineStr">
        <is>
          <t>Strategy</t>
        </is>
      </c>
      <c r="C62" s="8" t="inlineStr">
        <is>
          <t>Behavioral</t>
        </is>
      </c>
      <c r="D62" s="8" t="inlineStr">
        <is>
          <t>D2 Temp Directory Deletion</t>
        </is>
      </c>
      <c r="E62" s="8" t="inlineStr">
        <is>
          <t>Strategy=org.junit.jupiter.api.io.TempDirDeletionStrategy; ConcreteStrategy=org.junit.jupiter.api.io.TempDirDeletionStrategy.IgnoreFailures; ConcreteStrategy=org.junit.jupiter.api.io.TempDirDeletionStrategy.Standard; Selection=org.junit.jupiter.engine.extension.TempDirectory#determineDeletionStrategy</t>
        </is>
      </c>
      <c r="F62" s="8" t="inlineStr">
        <is>
          <t>junit-jupiter-api/src/main/java/org/junit/jupiter/api/io/TempDirDeletionStrategy.java:71-474 @6f98fbf; junit-jupiter-api/src/main/java/org/junit/jupiter/api/io/TempDirDeletionStrategy.java:97-149 @6f98fbf; junit-jupiter-api/src/main/java/org/junit/jupiter/api/io/TempDirDeletionStrategy.java:165-360 @6f98fbf; junit-jupiter-engine/src/main/java/org/junit/jupiter/engine/extension/TempDirectory.java:187-192 @6f98fbf</t>
        </is>
      </c>
      <c r="G62" s="8" t="inlineStr">
        <is>
          <t>How a temp directory is deleted is a TempDirDeletionStrategy (IgnoreFailures or Standard) chosen from @TempDir(deletionStrategy) or the configuration and called from Cleanup.run.</t>
        </is>
      </c>
      <c r="H62" s="8" t="inlineStr">
        <is>
          <t>preserved</t>
        </is>
      </c>
      <c r="I62" s="8" t="inlineStr">
        <is>
          <t>Not affected by CH03; participants unchanged.</t>
        </is>
      </c>
    </row>
    <row r="63">
      <c r="A63" s="8" t="inlineStr">
        <is>
          <t>Code after Change3</t>
        </is>
      </c>
      <c r="B63" s="8" t="inlineStr">
        <is>
          <t>Strategy</t>
        </is>
      </c>
      <c r="C63" s="8" t="inlineStr">
        <is>
          <t>Behavioral</t>
        </is>
      </c>
      <c r="D63" s="8" t="inlineStr">
        <is>
          <t>D3 Parameter Resolution</t>
        </is>
      </c>
      <c r="E63" s="8" t="inlineStr">
        <is>
          <t>Strategy=org.junit.jupiter.api.extension.ParameterResolver; ConcreteStrategy=org.junit.jupiter.engine.extension.TempDirectory; ConcreteStrategy=org.junit.jupiter.engine.extension.TestInfoParameterResolver; ConcreteStrategy=org.junit.jupiter.engine.extension.TestReporterParameterResolver; Context=org.junit.jupiter.engine.execution.ParameterResolutionUtils#resolveParameter</t>
        </is>
      </c>
      <c r="F63" s="8" t="inlineStr">
        <is>
          <t>junit-jupiter-api/src/main/java/org/junit/jupiter/api/extension/ParameterResolver.java:69-116 @6f98fbf; junit-jupiter-engine/src/main/java/org/junit/jupiter/engine/extension/TempDirectory.java:72-359 @6f98fbf; junit-jupiter-engine/src/main/java/org/junit/jupiter/engine/extension/TestInfoParameterResolver.java:30-100 @6f98fbf; junit-jupiter-engine/src/main/java/org/junit/jupiter/engine/extension/TestReporterParameterResolver.java:23-40 @6f98fbf; junit-jupiter-engine/src/main/java/org/junit/jupiter/engine/execution/ParameterResolutionUtils.java:127-180 @6f98fbf</t>
        </is>
      </c>
      <c r="G63" s="8" t="inlineStr">
        <is>
          <t>For each parameter the context asks every ParameterResolver supportsParameter; exactly one must match and its resolveParameter supplies the value (none or several is an error).</t>
        </is>
      </c>
      <c r="H63" s="8" t="inlineStr">
        <is>
          <t>preserved</t>
        </is>
      </c>
      <c r="I63" s="8" t="inlineStr">
        <is>
          <t>Not affected by CH03; participants unchanged.</t>
        </is>
      </c>
    </row>
    <row r="64">
      <c r="A64" s="8" t="inlineStr">
        <is>
          <t>Code after Change3</t>
        </is>
      </c>
      <c r="B64" s="8" t="inlineStr">
        <is>
          <t>Strategy</t>
        </is>
      </c>
      <c r="C64" s="8" t="inlineStr">
        <is>
          <t>Behavioral</t>
        </is>
      </c>
      <c r="D64" s="8" t="inlineStr">
        <is>
          <t>D4 Conditional Execution</t>
        </is>
      </c>
      <c r="E64" s="8" t="inlineStr">
        <is>
          <t>Strategy=org.junit.jupiter.api.extension.ExecutionCondition; ConcreteStrategy=org.junit.jupiter.engine.extension.DisabledCondition; Context=org.junit.jupiter.engine.execution.ConditionEvaluator#evaluate; Caller=org.junit.jupiter.engine.descriptor.JupiterTestDescriptor#shouldBeSkipped</t>
        </is>
      </c>
      <c r="F64" s="8" t="inlineStr">
        <is>
          <t>junit-jupiter-api/src/main/java/org/junit/jupiter/api/extension/ExecutionCondition.java:58-73 @6f98fbf; junit-jupiter-engine/src/main/java/org/junit/jupiter/engine/extension/DisabledCondition.java:31-54 @6f98fbf; junit-jupiter-engine/src/main/java/org/junit/jupiter/engine/execution/ConditionEvaluator.java:48-59 @6f98fbf; junit-jupiter-engine/src/main/java/org/junit/jupiter/engine/descriptor/JupiterTestDescriptor.java:227-232 @6f98fbf</t>
        </is>
      </c>
      <c r="G64" s="8" t="inlineStr">
        <is>
          <t>Each ExecutionCondition encapsulates an enable/disable policy; ConditionEvaluator applies all of them and the first 'disabled' wins.</t>
        </is>
      </c>
      <c r="H64" s="8" t="inlineStr">
        <is>
          <t>preserved</t>
        </is>
      </c>
      <c r="I64" s="8" t="inlineStr">
        <is>
          <t>Not affected by CH03; participants unchanged.</t>
        </is>
      </c>
    </row>
    <row r="65">
      <c r="A65" s="8" t="inlineStr">
        <is>
          <t>Code after Change3</t>
        </is>
      </c>
      <c r="B65" s="8" t="inlineStr">
        <is>
          <t>Strategy</t>
        </is>
      </c>
      <c r="C65" s="8" t="inlineStr">
        <is>
          <t>Behavioral</t>
        </is>
      </c>
      <c r="D65" s="8" t="inlineStr">
        <is>
          <t>D5 Store Close Action</t>
        </is>
      </c>
      <c r="E65" s="8" t="inlineStr">
        <is>
          <t>Strategy=org.junit.platform.engine.support.store.NamespacedHierarchicalStore.CloseAction; ConcreteStrategy (lambda)=org.junit.jupiter.engine.descriptor.AbstractExtensionContext#createCloseAction; Context=org.junit.platform.engine.support.store.NamespacedHierarchicalStore#close</t>
        </is>
      </c>
      <c r="F65" s="8" t="inlineStr">
        <is>
          <t>junit-platform-engine/src/main/java/org/junit/platform/engine/support/store/NamespacedHierarchicalStore.java:734-761 @6f98fbf; junit-jupiter-engine/src/main/java/org/junit/jupiter/engine/descriptor/AbstractExtensionContext.java:103-123 @6f98fbf; junit-platform-engine/src/main/java/org/junit/platform/engine/support/store/NamespacedHierarchicalStore.java:135-165 @6f98fbf</t>
        </is>
      </c>
      <c r="G65" s="8" t="inlineStr">
        <is>
          <t>The platform store does not know how to close Jupiter values, so AbstractExtensionContext injects a CloseAction (close AutoCloseable / CloseableResource values).</t>
        </is>
      </c>
      <c r="H65" s="8" t="inlineStr">
        <is>
          <t>preserved</t>
        </is>
      </c>
      <c r="I65" s="8" t="inlineStr">
        <is>
          <t>Not affected by CH03; participants unchanged.</t>
        </is>
      </c>
    </row>
    <row r="66">
      <c r="A66" s="8" t="inlineStr">
        <is>
          <t>Code after Change3</t>
        </is>
      </c>
      <c r="B66" s="8" t="inlineStr">
        <is>
          <t>Adapter</t>
        </is>
      </c>
      <c r="C66" s="8" t="inlineStr">
        <is>
          <t>Structural</t>
        </is>
      </c>
      <c r="D66" s="8" t="inlineStr">
        <is>
          <t>D6 Extension Store Adapter</t>
        </is>
      </c>
      <c r="E66" s="8" t="inlineStr">
        <is>
          <t>Target=org.junit.jupiter.api.extension.ExtensionContext.Store; Adapter=org.junit.jupiter.engine.execution.NamespaceAwareStore; Adaptee=org.junit.platform.engine.support.store.NamespacedHierarchicalStore; Adapter factory=org.junit.jupiter.engine.execution.LauncherStoreFacade#getStoreAdapter; Client=org.junit.jupiter.engine.descriptor.AbstractExtensionContext#getStore</t>
        </is>
      </c>
      <c r="F66" s="8" t="inlineStr">
        <is>
          <t>junit-jupiter-api/src/main/java/org/junit/jupiter/api/extension/ExtensionContext.java:526-897 @6f98fbf; junit-jupiter-engine/src/main/java/org/junit/jupiter/engine/execution/NamespaceAwareStore.java:31-127 @6f98fbf; junit-platform-engine/src/main/java/org/junit/platform/engine/support/store/NamespacedHierarchicalStore.java:56-763 @6f98fbf; junit-jupiter-engine/src/main/java/org/junit/jupiter/engine/execution/LauncherStoreFacade.java:46-50 @6f98fbf; junit-jupiter-engine/src/main/java/org/junit/jupiter/engine/descriptor/AbstractExtensionContext.java:219-221 @6f98fbf</t>
        </is>
      </c>
      <c r="G66" s="8" t="inlineStr">
        <is>
          <t>Extensions use the namespace-scoped ExtensionContext.Store; NamespaceAwareStore implements it on top of the platform NamespacedHierarchicalStore, fixing the namespace and translating exceptions.</t>
        </is>
      </c>
      <c r="H66" s="8" t="inlineStr">
        <is>
          <t>preserved</t>
        </is>
      </c>
      <c r="I66" s="8" t="inlineStr">
        <is>
          <t>Not affected by CH03; participants unchanged.</t>
        </is>
      </c>
    </row>
    <row r="67">
      <c r="A67" s="8" t="inlineStr">
        <is>
          <t>Code after Change3</t>
        </is>
      </c>
      <c r="B67" s="8" t="inlineStr">
        <is>
          <t>Adapter</t>
        </is>
      </c>
      <c r="C67" s="8" t="inlineStr">
        <is>
          <t>Structural</t>
        </is>
      </c>
      <c r="D67" s="8" t="inlineStr">
        <is>
          <t>D7 Lifecycle Method Adapters</t>
        </is>
      </c>
      <c r="E67" s="8" t="inlineStr">
        <is>
          <t>Target=org.junit.jupiter.engine.execution.BeforeEachMethodAdapter; Target=org.junit.jupiter.engine.execution.AfterEachMethodAdapter; Adapter (lambda)=org.junit.jupiter.engine.descriptor.ClassBasedTestDescriptor#synthesizeBeforeEachMethodAdapter; Adapter (lambda)=org.junit.jupiter.engine.descriptor.ClassBasedTestDescriptor#synthesizeAfterEachMethodAdapter; Client=org.junit.jupiter.engine.descriptor.TestMethodTestDescriptor#invokeBeforeEachMethods</t>
        </is>
      </c>
      <c r="F67" s="8" t="inlineStr">
        <is>
          <t>junit-jupiter-engine/src/main/java/org/junit/jupiter/engine/execution/BeforeEachMethodAdapter.java:29-33 @6f98fbf; junit-jupiter-engine/src/main/java/org/junit/jupiter/engine/execution/AfterEachMethodAdapter.java:29-33 @6f98fbf; junit-jupiter-engine/src/main/java/org/junit/jupiter/engine/descriptor/ClassBasedTestDescriptor.java:533-536 @6f98fbf; junit-jupiter-engine/src/main/java/org/junit/jupiter/engine/descriptor/ClassBasedTestDescriptor.java:538-541 @6f98fbf; junit-jupiter-engine/src/main/java/org/junit/jupiter/engine/descriptor/TestMethodTestDescriptor.java:187-197 @6f98fbf</t>
        </is>
      </c>
      <c r="G67" s="8" t="inlineStr">
        <is>
          <t>A user's @BeforeEach/@AfterEach Method is wrapped as a synthetic extension implementing BeforeEachMethodAdapter/AfterEachMethodAdapter so it runs through the extension ordering. Adapters are lambdas (no named class).</t>
        </is>
      </c>
      <c r="H67" s="8" t="inlineStr">
        <is>
          <t>preserved</t>
        </is>
      </c>
      <c r="I67" s="8" t="inlineStr">
        <is>
          <t>Not affected by CH03; participants unchanged.</t>
        </is>
      </c>
    </row>
    <row r="68">
      <c r="A68" s="8" t="inlineStr">
        <is>
          <t>Code after Change3</t>
        </is>
      </c>
      <c r="B68" s="8" t="inlineStr">
        <is>
          <t>Observer</t>
        </is>
      </c>
      <c r="C68" s="8" t="inlineStr">
        <is>
          <t>Behavioral</t>
        </is>
      </c>
      <c r="D68" s="8" t="inlineStr">
        <is>
          <t>D8 Test Outcome Watchers</t>
        </is>
      </c>
      <c r="E68" s="8" t="inlineStr">
        <is>
          <t>Observer=org.junit.jupiter.api.extension.TestWatcher; ConcreteObserver=org.junit.jupiter.engine.extension.RepetitionExtension; Subject (notify)=org.junit.jupiter.engine.descriptor.MethodBasedTestDescriptor#invokeTestWatchers; Subject (trigger)=org.junit.jupiter.engine.descriptor.TestMethodTestDescriptor#nodeFinished</t>
        </is>
      </c>
      <c r="F68" s="8" t="inlineStr">
        <is>
          <t>junit-jupiter-api/src/main/java/org/junit/jupiter/api/extension/TestWatcher.java:70-124 @6f98fbf; junit-jupiter-engine/src/main/java/org/junit/jupiter/engine/extension/RepetitionExtension.java:41-78 @6f98fbf; junit-jupiter-engine/src/main/java/org/junit/jupiter/engine/descriptor/MethodBasedTestDescriptor.java:166-192 @6f98fbf; junit-jupiter-engine/src/main/java/org/junit/jupiter/engine/descriptor/TestMethodTestDescriptor.java:278-291 @6f98fbf</t>
        </is>
      </c>
      <c r="G68" s="8" t="inlineStr">
        <is>
          <t>TestWatcher extensions are told each test's outcome and cannot change it; their exceptions are only logged.</t>
        </is>
      </c>
      <c r="H68" s="8" t="inlineStr">
        <is>
          <t>preserved</t>
        </is>
      </c>
      <c r="I68" s="8" t="inlineStr">
        <is>
          <t>Not affected by CH03; participants unchanged.</t>
        </is>
      </c>
    </row>
    <row r="69">
      <c r="A69" s="8" t="inlineStr">
        <is>
          <t>Code after Change3</t>
        </is>
      </c>
      <c r="B69" s="8" t="inlineStr">
        <is>
          <t>Chain of Responsibility</t>
        </is>
      </c>
      <c r="C69" s="8" t="inlineStr">
        <is>
          <t>Behavioral</t>
        </is>
      </c>
      <c r="D69" s="8" t="inlineStr">
        <is>
          <t>D9 Invocation Interceptor Chain</t>
        </is>
      </c>
      <c r="E69" s="8" t="inlineStr">
        <is>
          <t>Handler=org.junit.jupiter.api.extension.InvocationInterceptor; ConcreteHandler=org.junit.jupiter.engine.extension.TimeoutExtension; Chain builder=org.junit.jupiter.engine.execution.InvocationInterceptorChain#chainInterceptors; Link to next handler=org.junit.jupiter.engine.execution.InvocationInterceptorChain.InterceptedInvocation; Client=org.junit.jupiter.engine.execution.InterceptingExecutableInvoker</t>
        </is>
      </c>
      <c r="F69" s="8" t="inlineStr">
        <is>
          <t>junit-jupiter-api/src/main/java/org/junit/jupiter/api/extension/InvocationInterceptor.java:64-253 @6f98fbf; junit-jupiter-engine/src/main/java/org/junit/jupiter/engine/extension/TimeoutExtension.java:36-217 @6f98fbf; junit-jupiter-engine/src/main/java/org/junit/jupiter/engine/execution/InvocationInterceptorChain.java:52-62 @6f98fbf; junit-jupiter-engine/src/main/java/org/junit/jupiter/engine/execution/InvocationInterceptorChain.java:94-106 @6f98fbf; junit-jupiter-engine/src/main/java/org/junit/jupiter/engine/execution/InterceptingExecutableInvoker.java:40-137 @6f98fbf</t>
        </is>
      </c>
      <c r="G69" s="8" t="inlineStr">
        <is>
          <t>Every test/lifecycle/constructor call passes through a chain of InvocationInterceptors built back to front; each handler can proceed(), skip() or wrap the rest of the chain (interceptor-chain variant).</t>
        </is>
      </c>
      <c r="H69" s="8" t="inlineStr">
        <is>
          <t>preserved</t>
        </is>
      </c>
      <c r="I69" s="8" t="inlineStr">
        <is>
          <t>Not affected by CH03; participants unchanged.</t>
        </is>
      </c>
    </row>
    <row r="70">
      <c r="A70" s="8" t="inlineStr">
        <is>
          <t>Code after Change3</t>
        </is>
      </c>
      <c r="B70" s="8" t="inlineStr">
        <is>
          <t>Decorator</t>
        </is>
      </c>
      <c r="C70" s="8" t="inlineStr">
        <is>
          <t>Structural</t>
        </is>
      </c>
      <c r="D70" s="8" t="inlineStr">
        <is>
          <t>D10 Timeout Invocation Wrappers</t>
        </is>
      </c>
      <c r="E70" s="8" t="inlineStr">
        <is>
          <t>Component=org.junit.jupiter.api.extension.InvocationInterceptor.Invocation; ConcreteDecorator=org.junit.jupiter.engine.extension.SameThreadTimeoutInvocation; ConcreteDecorator=org.junit.jupiter.engine.extension.SeparateThreadTimeoutInvocation; ConcreteDecorator=org.junit.jupiter.engine.execution.InvocationInterceptorChain.ValidatingInvocation; Client=org.junit.jupiter.engine.extension.TimeoutExtension#decorate</t>
        </is>
      </c>
      <c r="F70" s="8" t="inlineStr">
        <is>
          <t>junit-jupiter-api/src/main/java/org/junit/jupiter/api/extension/InvocationInterceptor.java:231-251 @6f98fbf; junit-jupiter-engine/src/main/java/org/junit/jupiter/engine/extension/SameThreadTimeoutInvocation.java:26-99 @6f98fbf; junit-jupiter-engine/src/main/java/org/junit/jupiter/engine/extension/SeparateThreadTimeoutInvocation.java:24-52 @6f98fbf; junit-jupiter-engine/src/main/java/org/junit/jupiter/engine/execution/InvocationInterceptorChain.java:108-151 @6f98fbf; junit-jupiter-engine/src/main/java/org/junit/jupiter/engine/extension/TimeoutExtension.java:178-190 @6f98fbf</t>
        </is>
      </c>
      <c r="G70" s="8" t="inlineStr">
        <is>
          <t>TimeoutExtension.decorate wraps the Invocation in a timeout-aware Invocation that keeps the original as delegate and adds timing around delegate.proceed(); ValidatingInvocation adds a call-once check.</t>
        </is>
      </c>
      <c r="H70" s="8" t="inlineStr">
        <is>
          <t>preserved</t>
        </is>
      </c>
      <c r="I70" s="8" t="inlineStr">
        <is>
          <t>Not affected by CH03; participants unchanged.</t>
        </is>
      </c>
    </row>
    <row r="71">
      <c r="A71" s="8" t="inlineStr">
        <is>
          <t>Code after Change3</t>
        </is>
      </c>
      <c r="B71" s="8" t="inlineStr">
        <is>
          <t>Command</t>
        </is>
      </c>
      <c r="C71" s="8" t="inlineStr">
        <is>
          <t>Behavioral</t>
        </is>
      </c>
      <c r="D71" s="8" t="inlineStr">
        <is>
          <t>D11 Packaged Reflective Calls</t>
        </is>
      </c>
      <c r="E71" s="8" t="inlineStr">
        <is>
          <t>Command=org.junit.jupiter.api.extension.InvocationInterceptor.Invocation; ConcreteCommand=org.junit.jupiter.engine.execution.MethodInvocation; ConcreteCommand=org.junit.jupiter.engine.execution.ConstructorInvocation; Client=org.junit.jupiter.engine.execution.InterceptingExecutableInvoker</t>
        </is>
      </c>
      <c r="F71" s="8" t="inlineStr">
        <is>
          <t>junit-jupiter-api/src/main/java/org/junit/jupiter/api/extension/InvocationInterceptor.java:231-251 @6f98fbf; junit-jupiter-engine/src/main/java/org/junit/jupiter/engine/execution/MethodInvocation.java:25-64 @6f98fbf; junit-jupiter-engine/src/main/java/org/junit/jupiter/engine/execution/ConstructorInvocation.java:25-60 @6f98fbf; junit-jupiter-engine/src/main/java/org/junit/jupiter/engine/execution/InterceptingExecutableInvoker.java:40-137 @6f98fbf</t>
        </is>
      </c>
      <c r="G71" s="8" t="inlineStr">
        <is>
          <t>A resolved reflective call (method or constructor + target + arguments) is packaged as an Invocation object so interceptors can run it later, on another thread, or skip it.</t>
        </is>
      </c>
      <c r="H71" s="8" t="inlineStr">
        <is>
          <t>preserved</t>
        </is>
      </c>
      <c r="I71" s="8" t="inlineStr">
        <is>
          <t>Not affected by CH03; participants unchanged.</t>
        </is>
      </c>
    </row>
    <row r="72">
      <c r="A72" s="8" t="inlineStr">
        <is>
          <t>Code after Change1</t>
        </is>
      </c>
      <c r="B72" s="8" t="inlineStr">
        <is>
          <t>Composite</t>
        </is>
      </c>
      <c r="C72" s="8" t="inlineStr">
        <is>
          <t>Structural</t>
        </is>
      </c>
      <c r="D72" s="8" t="inlineStr">
        <is>
          <t>A1 Test Descriptor Tree</t>
        </is>
      </c>
      <c r="E72" s="8" t="inlineStr">
        <is>
          <t>Component=org.junit.platform.engine.TestDescriptor; Composite (base)=org.junit.platform.engine.support.descriptor.AbstractTestDescriptor; Composite=org.junit.platform.engine.support.descriptor.EngineDescriptor; Composite=org.junit.jupiter.engine.descriptor.JupiterEngineDescriptor; Composite=org.junit.jupiter.engine.descriptor.ClassTestDescriptor; Composite=org.junit.jupiter.engine.descriptor.NestedClassTestDescriptor; Composite=org.junit.jupiter.engine.descriptor.ClassTemplateTestDescriptor; Composite=org.junit.jupiter.engine.descriptor.ClassTemplateInvocationTestDescriptor; Composite=org.junit.jupiter.engine.descriptor.TestTemplateTestDescriptor; Composite=org.junit.jupiter.engine.descriptor.TestFactoryTestDescriptor; Composite=org.junit.jupiter.engine.descriptor.DynamicContainerTestDescriptor; Leaf=org.junit.jupiter.engine.descriptor.TestMethodTestDescriptor; Leaf=org.junit.jupiter.engine.descriptor.TestTemplateInvocationTestDescriptor; Leaf=org.junit.jupiter.engine.descriptor.DynamicTestTestDescriptor; Client=org.junit.platform.launcher.core.EngineDiscoveryOrchestrator#applyPostDiscoveryFilters; Client=org.junit.platform.engine.support.hierarchical.NodeTestTask#executeRecursively</t>
        </is>
      </c>
      <c r="F72" s="8" t="inlineStr">
        <is>
          <t>junit-platform-engine/src/main/java/org/junit/platform/engine/TestDescriptor.java:37-427 @e55fefe; junit-platform-engine/src/main/java/org/junit/platform/engine/support/descriptor/AbstractTestDescriptor.java:42-248 @e55fefe; junit-platform-engine/src/main/java/org/junit/platform/engine/support/descriptor/EngineDescriptor.java:25-53 @e55fefe; junit-jupiter-engine/src/main/java/org/junit/jupiter/engine/descriptor/JupiterEngineDescriptor.java:30-70 @e55fefe; junit-jupiter-engine/src/main/java/org/junit/jupiter/engine/descriptor/ClassTestDescriptor.java:47-106 @e55fefe; junit-jupiter-engine/src/main/java/org/junit/jupiter/engine/descriptor/NestedClassTestDescriptor.java:49-121 @e55fefe; junit-jupiter-engine/src/main/java/org/junit/jupiter/engine/descriptor/ClassTemplateTestDescriptor.java:51-277 @e55fefe; junit-jupiter-engine/src/main/java/org/junit/jupiter/engine/descriptor/ClassTemplateInvocationTestDescriptor.java:48-202 @e55fefe; junit-jupiter-engine/src/main/java/org/junit/jupiter/engine/descriptor/TestTemplateTestDescriptor.java:41-167 @e55fefe; junit-jupiter-engine/src/main/java/org/junit/jupiter/engine/descriptor/TestFactoryTestDescriptor.java:56-223 @e55fefe; junit-jupiter-engine/src/main/java/org/junit/jupiter/engine/descriptor/DynamicContainerTestDescriptor.java:34-88 @e55fefe; junit-jupiter-engine/src/main/java/org/junit/jupiter/engine/descriptor/TestMethodTestDescriptor.java:71-293 @e55fefe; junit-jupiter-engine/src/main/java/org/junit/jupiter/engine/descriptor/TestTemplateInvocationTestDescriptor.java:42-104 @e55fefe; junit-jupiter-engine/src/main/java/org/junit/jupiter/engine/descriptor/DynamicTestTestDescriptor.java:37-100 @e55fefe; junit-platform-launcher/src/main/java/org/junit/platform/launcher/core/EngineDiscoveryOrchestrator.java:229-242 @e55fefe; junit-platform-engine/src/main/java/org/junit/platform/engine/support/hierarchical/NodeTestTask.java:157-189 @e55fefe</t>
        </is>
      </c>
      <c r="G72" s="8" t="inlineStr">
        <is>
          <t>Engines build one tree of TestDescriptor nodes (engine &gt; class &gt; nested class &gt; method &gt; dynamic test); the launcher filters, prunes, visits and executes it without knowing node kinds. Evidence: TestDescriptor.accept visits itself then calls child.accept(visitor); AbstractTestDescriptor holds the children set and findByUniqueId recurses; NodeTestTask creates one child task per child. Transparent variant: leaf vs container is decided by getType().</t>
        </is>
      </c>
      <c r="H72" s="8" t="inlineStr">
        <is>
          <t>preserved</t>
        </is>
      </c>
      <c r="I72" s="8" t="inlineStr">
        <is>
          <t>Not affected by CH01; participants unchanged.</t>
        </is>
      </c>
    </row>
    <row r="73">
      <c r="A73" s="8" t="inlineStr">
        <is>
          <t>Code after Change1</t>
        </is>
      </c>
      <c r="B73" s="8" t="inlineStr">
        <is>
          <t>Composite</t>
        </is>
      </c>
      <c r="C73" s="8" t="inlineStr">
        <is>
          <t>Structural</t>
        </is>
      </c>
      <c r="D73" s="8" t="inlineStr">
        <is>
          <t>A2 Composed Discovery Filter</t>
        </is>
      </c>
      <c r="E73" s="8" t="inlineStr">
        <is>
          <t>Component=org.junit.platform.engine.Filter; Composite=org.junit.platform.engine.CompositeFilter; Leaf=org.junit.platform.launcher.IncludeMethodFilter; Leaf=org.junit.platform.launcher.ExcludeMethodFilter; Leaf (lambda factory)=org.junit.platform.launcher.TagFilter; Client=org.junit.platform.launcher.core.EngineDiscoveryOrchestrator#applyPostDiscoveryFilters; Leaf=org.junit.platform.launcher.core.FilterPolicy</t>
        </is>
      </c>
      <c r="F73" s="8" t="inlineStr">
        <is>
          <t>junit-platform-engine/src/main/java/org/junit/platform/engine/Filter.java:41-119 @e55fefe; junit-platform-engine/src/main/java/org/junit/platform/engine/CompositeFilter.java:29-89 @e55fefe; junit-platform-launcher/src/main/java/org/junit/platform/launcher/IncludeMethodFilter.java:31-58 @e55fefe; junit-platform-launcher/src/main/java/org/junit/platform/launcher/ExcludeMethodFilter.java:31-58 @e55fefe; junit-platform-launcher/src/main/java/org/junit/platform/launcher/TagFilter.java:48-184 @e55fefe; junit-platform-launcher/src/main/java/org/junit/platform/launcher/core/EngineDiscoveryOrchestrator.java:229-242 @e55fefe; junit-platform-launcher/src/main/java/org/junit/platform/launcher/core/FilterPolicy.java:45-114 @e55fefe</t>
        </is>
      </c>
      <c r="G73" s="8" t="inlineStr">
        <is>
          <t>All post-discovery filters are merged into one Filter by Filter.composeFilters; CompositeFilter implements Filter, holds a list of Filters and combines their FilterResults into one answer (first exclusion wins). Overlaps A3 (same leaf classes seen as strategies).</t>
        </is>
      </c>
      <c r="H73" s="8" t="inlineStr">
        <is>
          <t>preserved</t>
        </is>
      </c>
      <c r="I73" s="8" t="inlineStr">
        <is>
          <t>Not affected by CH01; participants unchanged.</t>
        </is>
      </c>
    </row>
    <row r="74">
      <c r="A74" s="8" t="inlineStr">
        <is>
          <t>Code after Change1</t>
        </is>
      </c>
      <c r="B74" s="8" t="inlineStr">
        <is>
          <t>Strategy</t>
        </is>
      </c>
      <c r="C74" s="8" t="inlineStr">
        <is>
          <t>Behavioral</t>
        </is>
      </c>
      <c r="D74" s="8" t="inlineStr">
        <is>
          <t>A3 Post-Discovery Filter Policies</t>
        </is>
      </c>
      <c r="E74" s="8" t="inlineStr">
        <is>
          <t>Strategy=org.junit.platform.launcher.PostDiscoveryFilter; ConcreteStrategy=org.junit.platform.launcher.IncludeMethodFilter; ConcreteStrategy=org.junit.platform.launcher.ExcludeMethodFilter; ConcreteStrategy (lambdas)=org.junit.platform.launcher.TagFilter; Context=org.junit.platform.launcher.core.EngineDiscoveryOrchestrator#applyPostDiscoveryFilters; ConcreteStrategy=org.junit.platform.launcher.core.FilterPolicy; Context (assembles strategies)=org.junit.platform.launcher.core.EngineDiscoveryOrchestrator#collectPostDiscoveryFilters</t>
        </is>
      </c>
      <c r="F74" s="8" t="inlineStr">
        <is>
          <t>junit-platform-launcher/src/main/java/org/junit/platform/launcher/PostDiscoveryFilter.java:35-36 @e55fefe; junit-platform-launcher/src/main/java/org/junit/platform/launcher/IncludeMethodFilter.java:31-58 @e55fefe; junit-platform-launcher/src/main/java/org/junit/platform/launcher/ExcludeMethodFilter.java:31-58 @e55fefe; junit-platform-launcher/src/main/java/org/junit/platform/launcher/TagFilter.java:48-184 @e55fefe; junit-platform-launcher/src/main/java/org/junit/platform/launcher/core/EngineDiscoveryOrchestrator.java:229-242 @e55fefe; junit-platform-launcher/src/main/java/org/junit/platform/launcher/core/FilterPolicy.java:45-114 @e55fefe; junit-platform-launcher/src/main/java/org/junit/platform/launcher/core/EngineDiscoveryOrchestrator.java:186-191 @e55fefe</t>
        </is>
      </c>
      <c r="G74" s="8" t="inlineStr">
        <is>
          <t>Selection rules (tag expressions, method-name patterns, custom filters) are interchangeable algorithms behind PostDiscoveryFilter; EngineDiscoveryOrchestrator only calls apply(). Overlaps A2.</t>
        </is>
      </c>
      <c r="H74" s="8" t="inlineStr">
        <is>
          <t>preserved</t>
        </is>
      </c>
      <c r="I74" s="8" t="inlineStr">
        <is>
          <t>Not affected by CH01; participants unchanged.</t>
        </is>
      </c>
    </row>
    <row r="75">
      <c r="A75" s="8" t="inlineStr">
        <is>
          <t>Code after Change1</t>
        </is>
      </c>
      <c r="B75" s="8" t="inlineStr">
        <is>
          <t>Template Method</t>
        </is>
      </c>
      <c r="C75" s="8" t="inlineStr">
        <is>
          <t>Behavioral</t>
        </is>
      </c>
      <c r="D75" s="8" t="inlineStr">
        <is>
          <t>A4 Jupiter Descriptor Skeletons</t>
        </is>
      </c>
      <c r="E75" s="8" t="inlineStr">
        <is>
          <t>AbstractClass=org.junit.jupiter.engine.descriptor.JupiterTestDescriptor; TemplateMethod=org.junit.jupiter.engine.descriptor.JupiterTestDescriptor#getExecutionMode; TemplateMethod=org.junit.jupiter.engine.descriptor.JupiterTestDescriptor#getLegacyReportingName; TemplateMethod=org.junit.jupiter.engine.descriptor.JupiterTestDescriptor#copyIncludingDescendants; PrimitiveOperation=org.junit.jupiter.engine.descriptor.JupiterTestDescriptor#withUniqueId; ConcreteClass (hook)=org.junit.jupiter.engine.descriptor.ClassBasedTestDescriptor#getExplicitExecutionMode; ConcreteClass (hook)=org.junit.jupiter.engine.descriptor.MethodBasedTestDescriptor#getExplicitExecutionMode; ConcreteClass (primitive)=org.junit.jupiter.engine.descriptor.ClassTestDescriptor#withUniqueId</t>
        </is>
      </c>
      <c r="F75" s="8" t="inlineStr">
        <is>
          <t>junit-jupiter-engine/src/main/java/org/junit/jupiter/engine/descriptor/JupiterTestDescriptor.java:64-283 @e55fefe; junit-jupiter-engine/src/main/java/org/junit/jupiter/engine/descriptor/JupiterTestDescriptor.java:163-167 @e55fefe; junit-jupiter-engine/src/main/java/org/junit/jupiter/engine/descriptor/JupiterTestDescriptor.java:85-88 @e55fefe; junit-jupiter-engine/src/main/java/org/junit/jupiter/engine/descriptor/JupiterTestDescriptor.java:256-263 @e55fefe; junit-jupiter-engine/src/main/java/org/junit/jupiter/engine/descriptor/JupiterTestDescriptor.java:268-268 @e55fefe; junit-jupiter-engine/src/main/java/org/junit/jupiter/engine/descriptor/ClassBasedTestDescriptor.java:167-169 @e55fefe; junit-jupiter-engine/src/main/java/org/junit/jupiter/engine/descriptor/MethodBasedTestDescriptor.java:147-149 @e55fefe; junit-jupiter-engine/src/main/java/org/junit/jupiter/engine/descriptor/ClassTestDescriptor.java:63-66 @e55fefe</t>
        </is>
      </c>
      <c r="G75" s="8" t="inlineStr">
        <is>
          <t>JupiterTestDescriptor fixes algorithms in final methods (getExecutionMode, getLegacyReportingName) and in copyIncludingDescendants, which calls the abstract primitive withUniqueId; subclasses override the hooks (getExplicitExecutionMode, getLegacyReportingBaseName, withUniqueId).</t>
        </is>
      </c>
      <c r="H75" s="8" t="inlineStr">
        <is>
          <t>preserved</t>
        </is>
      </c>
      <c r="I75" s="8" t="inlineStr">
        <is>
          <t>Not affected by CH01; participants unchanged.</t>
        </is>
      </c>
    </row>
    <row r="76">
      <c r="A76" s="8" t="inlineStr">
        <is>
          <t>Code after Change1</t>
        </is>
      </c>
      <c r="B76" s="8" t="inlineStr">
        <is>
          <t>Template Method</t>
        </is>
      </c>
      <c r="C76" s="8" t="inlineStr">
        <is>
          <t>Behavioral</t>
        </is>
      </c>
      <c r="D76" s="8" t="inlineStr">
        <is>
          <t>A5 Child Ordering Skeleton</t>
        </is>
      </c>
      <c r="E76" s="8" t="inlineStr">
        <is>
          <t>AbstractClass=org.junit.jupiter.engine.discovery.AbstractOrderingVisitor; TemplateMethod=org.junit.jupiter.engine.discovery.AbstractOrderingVisitor#orderChildrenTestDescriptors; PrimitiveOperation=org.junit.jupiter.engine.discovery.AbstractOrderingVisitor#shouldNonMatchingDescriptorsComeBeforeOrderedOnes; ConcreteClass=org.junit.jupiter.engine.discovery.ClassOrderingVisitor; ConcreteClass=org.junit.jupiter.engine.discovery.MethodOrderingVisitor</t>
        </is>
      </c>
      <c r="F76" s="8" t="inlineStr">
        <is>
          <t>junit-jupiter-engine/src/main/java/org/junit/jupiter/engine/discovery/AbstractOrderingVisitor.java:39-222 @e55fefe; junit-jupiter-engine/src/main/java/org/junit/jupiter/engine/discovery/AbstractOrderingVisitor.java:72-119 @e55fefe; junit-jupiter-engine/src/main/java/org/junit/jupiter/engine/discovery/AbstractOrderingVisitor.java:126-126 @e55fefe; junit-jupiter-engine/src/main/java/org/junit/jupiter/engine/discovery/ClassOrderingVisitor.java:38-165 @e55fefe; junit-jupiter-engine/src/main/java/org/junit/jupiter/engine/discovery/MethodOrderingVisitor.java:41-174 @e55fefe</t>
        </is>
      </c>
      <c r="G76" s="8" t="inlineStr">
        <is>
          <t>AbstractOrderingVisitor.orderChildrenTestDescriptors runs a fixed ordering algorithm (select, wrap, sort, unwrap, merge) and asks the abstract hook shouldNonMatchingDescriptorsComeBeforeOrderedOnes, which ClassOrderingVisitor and MethodOrderingVisitor answer differently.</t>
        </is>
      </c>
      <c r="H76" s="8" t="inlineStr">
        <is>
          <t>preserved</t>
        </is>
      </c>
      <c r="I76" s="8" t="inlineStr">
        <is>
          <t>Not affected by CH01; participants unchanged.</t>
        </is>
      </c>
    </row>
    <row r="77">
      <c r="A77" s="8" t="inlineStr">
        <is>
          <t>Code after Change1</t>
        </is>
      </c>
      <c r="B77" s="8" t="inlineStr">
        <is>
          <t>Observer</t>
        </is>
      </c>
      <c r="C77" s="8" t="inlineStr">
        <is>
          <t>Behavioral</t>
        </is>
      </c>
      <c r="D77" s="8" t="inlineStr">
        <is>
          <t>A6 Discovery Event Notification</t>
        </is>
      </c>
      <c r="E77" s="8" t="inlineStr">
        <is>
          <t>Observer=org.junit.platform.launcher.LauncherDiscoveryListener; Observer (base)=org.junit.platform.engine.EngineDiscoveryListener; ConcreteObserver=org.junit.platform.launcher.core.DiscoveryIssueCollector; ConcreteObserver=org.junit.platform.launcher.core.DiscoveryIssueReportingDiscoveryListener; Subject (attach)=org.junit.platform.launcher.core.DefaultLauncher#registerLauncherDiscoveryListeners; Subject (notify)=org.junit.platform.launcher.core.EngineDiscoveryOrchestrator#discoverEngineRoot; Subject (notify, in engine)=org.junit.platform.engine.support.discovery.EngineDiscoveryRequestResolution; Multicaster=org.junit.platform.launcher.listeners.discovery.CompositeLauncherDiscoveryListener</t>
        </is>
      </c>
      <c r="F77" s="8" t="inlineStr">
        <is>
          <t>junit-platform-launcher/src/main/java/org/junit/platform/launcher/LauncherDiscoveryListener.java:42-91 @e55fefe; junit-platform-engine/src/main/java/org/junit/platform/engine/EngineDiscoveryListener.java:31-67 @e55fefe; junit-platform-launcher/src/main/java/org/junit/platform/launcher/core/DiscoveryIssueCollector.java:25-65 @e55fefe; junit-platform-launcher/src/main/java/org/junit/platform/launcher/core/DiscoveryIssueReportingDiscoveryListener.java:49-131 @e55fefe; junit-platform-launcher/src/main/java/org/junit/platform/launcher/core/DefaultLauncher.java:73-77 @e55fefe; junit-platform-launcher/src/main/java/org/junit/platform/launcher/core/EngineDiscoveryOrchestrator.java:193-218 @e55fefe; junit-platform-engine/src/main/java/org/junit/platform/engine/support/discovery/EngineDiscoveryRequestResolution.java:60-263 @e55fefe; junit-platform-launcher/src/main/java/org/junit/platform/launcher/listeners/discovery/CompositeLauncherDiscoveryListener.java:29-67 @e55fefe</t>
        </is>
      </c>
      <c r="G77" s="8" t="inlineStr">
        <is>
          <t>Discovery progress (launcher/engine discovery started and finished, selector processed, issues) is pushed to registered LauncherDiscoveryListeners that the orchestrator only knows by interface.</t>
        </is>
      </c>
      <c r="H77" s="8" t="inlineStr">
        <is>
          <t>preserved</t>
        </is>
      </c>
      <c r="I77" s="8" t="inlineStr">
        <is>
          <t>Not affected by CH01; participants unchanged.</t>
        </is>
      </c>
    </row>
    <row r="78">
      <c r="A78" s="8" t="inlineStr">
        <is>
          <t>Code after Change1</t>
        </is>
      </c>
      <c r="B78" s="8" t="inlineStr">
        <is>
          <t>Adapter</t>
        </is>
      </c>
      <c r="C78" s="8" t="inlineStr">
        <is>
          <t>Structural</t>
        </is>
      </c>
      <c r="D78" s="8" t="inlineStr">
        <is>
          <t>A7 Orderer Descriptor Wrappers</t>
        </is>
      </c>
      <c r="E78" s="8" t="inlineStr">
        <is>
          <t>Target=org.junit.jupiter.api.ClassDescriptor; Target=org.junit.jupiter.api.MethodDescriptor; Adapter (base)=org.junit.jupiter.engine.discovery.AbstractAnnotatedDescriptorWrapper; Adapter=org.junit.jupiter.engine.discovery.DefaultClassDescriptor; Adapter=org.junit.jupiter.engine.discovery.DefaultMethodDescriptor; Adaptee=org.junit.jupiter.engine.descriptor.ClassBasedTestDescriptor; Adaptee=org.junit.jupiter.engine.descriptor.MethodBasedTestDescriptor; Client=org.junit.jupiter.engine.discovery.ClassOrderingVisitor</t>
        </is>
      </c>
      <c r="F78" s="8" t="inlineStr">
        <is>
          <t>junit-jupiter-api/src/main/java/org/junit/jupiter/api/ClassDescriptor.java:28-87 @e55fefe; junit-jupiter-api/src/main/java/org/junit/jupiter/api/MethodDescriptor.java:29-90 @e55fefe; junit-jupiter-engine/src/main/java/org/junit/jupiter/engine/discovery/AbstractAnnotatedDescriptorWrapper.java:28-65 @e55fefe; junit-jupiter-engine/src/main/java/org/junit/jupiter/engine/discovery/DefaultClassDescriptor.java:23-39 @e55fefe; junit-jupiter-engine/src/main/java/org/junit/jupiter/engine/discovery/DefaultMethodDescriptor.java:25-41 @e55fefe; junit-jupiter-engine/src/main/java/org/junit/jupiter/engine/descriptor/ClassBasedTestDescriptor.java:89-601 @e55fefe; junit-jupiter-engine/src/main/java/org/junit/jupiter/engine/descriptor/MethodBasedTestDescriptor.java:56-217 @e55fefe; junit-jupiter-engine/src/main/java/org/junit/jupiter/engine/discovery/ClassOrderingVisitor.java:38-165 @e55fefe</t>
        </is>
      </c>
      <c r="G78" s="8" t="inlineStr">
        <is>
          <t>User ClassOrderer/MethodOrderer code expects the public ClassDescriptor/MethodDescriptor API; the wrappers expose internal descriptors through it so internal classes never leak to user code.</t>
        </is>
      </c>
      <c r="H78" s="8" t="inlineStr">
        <is>
          <t>preserved</t>
        </is>
      </c>
      <c r="I78" s="8" t="inlineStr">
        <is>
          <t>Not affected by CH01; participants unchanged.</t>
        </is>
      </c>
    </row>
    <row r="79">
      <c r="A79" s="8" t="inlineStr">
        <is>
          <t>Code after Change1</t>
        </is>
      </c>
      <c r="B79" s="8" t="inlineStr">
        <is>
          <t>Template Method</t>
        </is>
      </c>
      <c r="C79" s="8" t="inlineStr">
        <is>
          <t>Behavioral</t>
        </is>
      </c>
      <c r="D79" s="8" t="inlineStr">
        <is>
          <t>B1 Hierarchical Engine Execution Skeleton</t>
        </is>
      </c>
      <c r="E79" s="8" t="inlineStr">
        <is>
          <t>AbstractClass=org.junit.platform.engine.support.hierarchical.HierarchicalTestEngine; TemplateMethod=org.junit.platform.engine.support.hierarchical.HierarchicalTestEngine#execute; PrimitiveOperation=org.junit.platform.engine.support.hierarchical.HierarchicalTestEngine#createExecutionContext; ConcreteClass=org.junit.jupiter.engine.JupiterTestEngine</t>
        </is>
      </c>
      <c r="F79" s="8" t="inlineStr">
        <is>
          <t>junit-platform-engine/src/main/java/org/junit/platform/engine/support/hierarchical/HierarchicalTestEngine.java:31-119 @e55fefe; junit-platform-engine/src/main/java/org/junit/platform/engine/support/hierarchical/HierarchicalTestEngine.java:53-63 @e55fefe; junit-platform-engine/src/main/java/org/junit/platform/engine/support/hierarchical/HierarchicalTestEngine.java:117-117 @e55fefe; junit-jupiter-engine/src/main/java/org/junit/jupiter/engine/JupiterTestEngine.java:44-108 @e55fefe</t>
        </is>
      </c>
      <c r="G79" s="8" t="inlineStr">
        <is>
          <t>final HierarchicalTestEngine.execute fixes the run order (executor service, context, collector factory, HierarchicalTestExecutor); JupiterTestEngine only supplies the steps. Overlaps B2.</t>
        </is>
      </c>
      <c r="H79" s="8" t="inlineStr">
        <is>
          <t>preserved</t>
        </is>
      </c>
      <c r="I79" s="8" t="inlineStr">
        <is>
          <t>Not affected by CH01; participants unchanged.</t>
        </is>
      </c>
    </row>
    <row r="80">
      <c r="A80" s="8" t="inlineStr">
        <is>
          <t>Code after Change1</t>
        </is>
      </c>
      <c r="B80" s="8" t="inlineStr">
        <is>
          <t>Factory Method</t>
        </is>
      </c>
      <c r="C80" s="8" t="inlineStr">
        <is>
          <t>Creational</t>
        </is>
      </c>
      <c r="D80" s="8" t="inlineStr">
        <is>
          <t>B2 Engine Collaborator Factory Methods</t>
        </is>
      </c>
      <c r="E80" s="8" t="inlineStr">
        <is>
          <t>Creator (factory method)=org.junit.platform.engine.support.hierarchical.HierarchicalTestEngine#createExecutorService; ConcreteCreator=org.junit.jupiter.engine.JupiterTestEngine#createExecutorService; ConcreteCreator=org.junit.jupiter.engine.JupiterTestEngine#createExecutionContext; ConcreteCreator=org.junit.jupiter.engine.JupiterTestEngine#createThrowableCollectorFactory; ConcreteProduct=org.junit.jupiter.engine.execution.JupiterEngineExecutionContext</t>
        </is>
      </c>
      <c r="F80" s="8" t="inlineStr">
        <is>
          <t>junit-platform-engine/src/main/java/org/junit/platform/engine/support/hierarchical/HierarchicalTestEngine.java:83-85 @e55fefe; junit-jupiter-engine/src/main/java/org/junit/jupiter/engine/JupiterTestEngine.java:80-87 @e55fefe; junit-jupiter-engine/src/main/java/org/junit/jupiter/engine/JupiterTestEngine.java:90-93 @e55fefe; junit-jupiter-engine/src/main/java/org/junit/jupiter/engine/JupiterTestEngine.java:99-101 @e55fefe; junit-jupiter-engine/src/main/java/org/junit/jupiter/engine/execution/JupiterEngineExecutionContext.java:30-209 @e55fefe</t>
        </is>
      </c>
      <c r="G80" s="8" t="inlineStr">
        <is>
          <t>The template in B1 asks overridable create* methods which objects to use; JupiterTestEngine overrides them to choose a parallel/same-thread executor, its JupiterEngineExecutionContext and its throwable-collector factory. Overlaps B1.</t>
        </is>
      </c>
      <c r="H80" s="8" t="inlineStr">
        <is>
          <t>preserved</t>
        </is>
      </c>
      <c r="I80" s="8" t="inlineStr">
        <is>
          <t>Not affected by CH01; participants unchanged.</t>
        </is>
      </c>
    </row>
    <row r="81">
      <c r="A81" s="8" t="inlineStr">
        <is>
          <t>Code after Change1</t>
        </is>
      </c>
      <c r="B81" s="8" t="inlineStr">
        <is>
          <t>Strategy</t>
        </is>
      </c>
      <c r="C81" s="8" t="inlineStr">
        <is>
          <t>Behavioral</t>
        </is>
      </c>
      <c r="D81" s="8" t="inlineStr">
        <is>
          <t>B3 Test Executor Services</t>
        </is>
      </c>
      <c r="E81" s="8" t="inlineStr">
        <is>
          <t>Strategy=org.junit.platform.engine.support.hierarchical.HierarchicalTestExecutorService; ConcreteStrategy=org.junit.platform.engine.support.hierarchical.SameThreadHierarchicalTestExecutorService; ConcreteStrategy=org.junit.platform.engine.support.hierarchical.ForkJoinPoolHierarchicalTestExecutorService; ConcreteStrategy=org.junit.platform.engine.support.hierarchical.WorkerThreadPoolHierarchicalTestExecutorService; Context=org.junit.platform.engine.support.hierarchical.HierarchicalTestExecutor; Context=org.junit.platform.engine.support.hierarchical.NodeTestTask#executeRecursively</t>
        </is>
      </c>
      <c r="F81" s="8" t="inlineStr">
        <is>
          <t>junit-platform-engine/src/main/java/org/junit/platform/engine/support/hierarchical/HierarchicalTestExecutorService.java:34-118 @e55fefe; junit-platform-engine/src/main/java/org/junit/platform/engine/support/hierarchical/SameThreadHierarchicalTestExecutorService.java:29-50 @e55fefe; junit-platform-engine/src/main/java/org/junit/platform/engine/support/hierarchical/ForkJoinPoolHierarchicalTestExecutorService.java:51-331 @e55fefe; junit-platform-engine/src/main/java/org/junit/platform/engine/support/hierarchical/WorkerThreadPoolHierarchicalTestExecutorService.java:70-901 @e55fefe; junit-platform-engine/src/main/java/org/junit/platform/engine/support/hierarchical/HierarchicalTestExecutor.java:36-71 @e55fefe; junit-platform-engine/src/main/java/org/junit/platform/engine/support/hierarchical/NodeTestTask.java:157-189 @e55fefe</t>
        </is>
      </c>
      <c r="G81" s="8" t="inlineStr">
        <is>
          <t>Sequential vs parallel scheduling is swappable behind HierarchicalTestExecutorService; NodeTestTask and HierarchicalTestExecutor only call submit/invokeAll.</t>
        </is>
      </c>
      <c r="H81" s="8" t="inlineStr">
        <is>
          <t>preserved</t>
        </is>
      </c>
      <c r="I81" s="8" t="inlineStr">
        <is>
          <t>Not affected by CH01; participants unchanged.</t>
        </is>
      </c>
    </row>
    <row r="82">
      <c r="A82" s="8" t="inlineStr">
        <is>
          <t>Code after Change1</t>
        </is>
      </c>
      <c r="B82" s="8" t="inlineStr">
        <is>
          <t>Strategy</t>
        </is>
      </c>
      <c r="C82" s="8" t="inlineStr">
        <is>
          <t>Behavioral</t>
        </is>
      </c>
      <c r="D82" s="8" t="inlineStr">
        <is>
          <t>B4 Parallelism Configuration Strategy</t>
        </is>
      </c>
      <c r="E82" s="8" t="inlineStr">
        <is>
          <t>Strategy=org.junit.platform.engine.support.hierarchical.ParallelExecutionConfigurationStrategy; ConcreteStrategy (enum FIXED/DYNAMIC/CUSTOM)=org.junit.platform.engine.support.hierarchical.DefaultParallelExecutionConfigurationStrategy; Selection=org.junit.platform.engine.support.hierarchical.DefaultParallelExecutionConfigurationStrategy#getStrategy; Context=org.junit.platform.engine.support.hierarchical.ParallelHierarchicalTestExecutorServiceFactory</t>
        </is>
      </c>
      <c r="F82" s="8" t="inlineStr">
        <is>
          <t>junit-platform-engine/src/main/java/org/junit/platform/engine/support/hierarchical/ParallelExecutionConfigurationStrategy.java:25-33 @e55fefe; junit-platform-engine/src/main/java/org/junit/platform/engine/support/hierarchical/DefaultParallelExecutionConfigurationStrategy.java:33-228 @e55fefe; junit-platform-engine/src/main/java/org/junit/platform/engine/support/hierarchical/DefaultParallelExecutionConfigurationStrategy.java:223-226 @e55fefe; junit-platform-engine/src/main/java/org/junit/platform/engine/support/hierarchical/ParallelHierarchicalTestExecutorServiceFactory.java:33-123 @e55fefe</t>
        </is>
      </c>
      <c r="G82" s="8" t="inlineStr">
        <is>
          <t>How parallelism is computed (FIXED, DYNAMIC from CPU count, CUSTOM user class) is chosen by configuration; each enum constant implements createConfiguration.</t>
        </is>
      </c>
      <c r="H82" s="8" t="inlineStr">
        <is>
          <t>preserved</t>
        </is>
      </c>
      <c r="I82" s="8" t="inlineStr">
        <is>
          <t>Not affected by CH01; participants unchanged.</t>
        </is>
      </c>
    </row>
    <row r="83">
      <c r="A83" s="8" t="inlineStr">
        <is>
          <t>Code after Change1</t>
        </is>
      </c>
      <c r="B83" s="8" t="inlineStr">
        <is>
          <t>Decorator</t>
        </is>
      </c>
      <c r="C83" s="8" t="inlineStr">
        <is>
          <t>Structural</t>
        </is>
      </c>
      <c r="D83" s="8" t="inlineStr">
        <is>
          <t>B5 Intercepting Launcher Wrappers</t>
        </is>
      </c>
      <c r="E83" s="8" t="inlineStr">
        <is>
          <t>Component=org.junit.platform.launcher.Launcher; ConcreteComponent=org.junit.platform.launcher.core.DefaultLauncher; Decorator=org.junit.platform.launcher.core.DelegatingLauncher; ConcreteDecorator=org.junit.platform.launcher.core.InterceptingLauncher; Assembler=org.junit.platform.launcher.core.DefaultLauncherSession</t>
        </is>
      </c>
      <c r="F83" s="8" t="inlineStr">
        <is>
          <t>junit-platform-launcher/src/main/java/org/junit/platform/launcher/Launcher.java:53-164 @e55fefe; junit-platform-launcher/src/main/java/org/junit/platform/launcher/core/DefaultLauncher.java:43-145 @e55fefe; junit-platform-launcher/src/main/java/org/junit/platform/launcher/core/DelegatingLauncher.java:24-73 @e55fefe; junit-platform-launcher/src/main/java/org/junit/platform/launcher/core/InterceptingLauncher.java:25-70 @e55fefe; junit-platform-launcher/src/main/java/org/junit/platform/launcher/core/DefaultLauncherSession.java:35-159 @e55fefe</t>
        </is>
      </c>
      <c r="G83" s="8" t="inlineStr">
        <is>
          <t>The session's launcher is DelegatingLauncher &gt; InterceptingLauncher &gt; DefaultLauncher; each wrapper implements Launcher and forwards, InterceptingLauncher adds LauncherInterceptor around every call.</t>
        </is>
      </c>
      <c r="H83" s="8" t="inlineStr">
        <is>
          <t>preserved</t>
        </is>
      </c>
      <c r="I83" s="8" t="inlineStr">
        <is>
          <t>Not affected by CH01; participants unchanged.</t>
        </is>
      </c>
    </row>
    <row r="84">
      <c r="A84" s="8" t="inlineStr">
        <is>
          <t>Code after Change1</t>
        </is>
      </c>
      <c r="B84" s="8" t="inlineStr">
        <is>
          <t>Decorator</t>
        </is>
      </c>
      <c r="C84" s="8" t="inlineStr">
        <is>
          <t>Structural</t>
        </is>
      </c>
      <c r="D84" s="8" t="inlineStr">
        <is>
          <t>B6 Engine Listener Wrappers</t>
        </is>
      </c>
      <c r="E84" s="8" t="inlineStr">
        <is>
          <t>Component=org.junit.platform.engine.EngineExecutionListener; Decorator=org.junit.platform.launcher.core.DelegatingEngineExecutionListener; ConcreteDecorator=org.junit.platform.launcher.core.StackTracePruningEngineExecutionListener; ConcreteDecorator=org.junit.platform.launcher.core.OutcomeDelayingEngineExecutionListener; ConcreteDecorator=org.junit.platform.launcher.core.MemoryCleanupListener; Assembler=org.junit.platform.launcher.core.EngineExecutionOrchestrator#executeEngine</t>
        </is>
      </c>
      <c r="F84" s="8" t="inlineStr">
        <is>
          <t>junit-platform-engine/src/main/java/org/junit/platform/engine/EngineExecutionListener.java:34-164 @e55fefe; junit-platform-launcher/src/main/java/org/junit/platform/launcher/core/DelegatingEngineExecutionListener.java:22-59 @e55fefe; junit-platform-launcher/src/main/java/org/junit/platform/launcher/core/StackTracePruningEngineExecutionListener.java:31-70 @e55fefe; junit-platform-launcher/src/main/java/org/junit/platform/launcher/core/OutcomeDelayingEngineExecutionListener.java:28-101 @e55fefe; junit-platform-launcher/src/main/java/org/junit/platform/launcher/core/MemoryCleanupListener.java:30-93 @e55fefe; junit-platform-launcher/src/main/java/org/junit/platform/launcher/core/EngineExecutionOrchestrator.java:248-275 @e55fefe</t>
        </is>
      </c>
      <c r="G84" s="8" t="inlineStr">
        <is>
          <t>EngineExecutionOrchestrator stacks independent wrappers (stack-trace pruning, outcome delaying, memory cleanup) on the engine listener; each forwards and adds one behaviour. Also part of Area C.</t>
        </is>
      </c>
      <c r="H84" s="8" t="inlineStr">
        <is>
          <t>preserved</t>
        </is>
      </c>
      <c r="I84" s="8" t="inlineStr">
        <is>
          <t>Not affected by CH01; participants unchanged.</t>
        </is>
      </c>
    </row>
    <row r="85">
      <c r="A85" s="8" t="inlineStr">
        <is>
          <t>Code after Change1</t>
        </is>
      </c>
      <c r="B85" s="8" t="inlineStr">
        <is>
          <t>Adapter</t>
        </is>
      </c>
      <c r="C85" s="8" t="inlineStr">
        <is>
          <t>Structural</t>
        </is>
      </c>
      <c r="D85" s="8" t="inlineStr">
        <is>
          <t>B7 Engine-to-Launcher Listener Adapter</t>
        </is>
      </c>
      <c r="E85" s="8" t="inlineStr">
        <is>
          <t>Target=org.junit.platform.engine.EngineExecutionListener; Adapter=org.junit.platform.launcher.core.ExecutionListenerAdapter; Adaptee=org.junit.platform.launcher.TestExecutionListener; Client (wiring)=org.junit.platform.launcher.core.EngineExecutionOrchestrator#buildEngineExecutionListener</t>
        </is>
      </c>
      <c r="F85" s="8" t="inlineStr">
        <is>
          <t>junit-platform-engine/src/main/java/org/junit/platform/engine/EngineExecutionListener.java:34-164 @e55fefe; junit-platform-launcher/src/main/java/org/junit/platform/launcher/core/ExecutionListenerAdapter.java:28-74 @e55fefe; junit-platform-launcher/src/main/java/org/junit/platform/launcher/TestExecutionListener.java:76-203 @e55fefe; junit-platform-launcher/src/main/java/org/junit/platform/launcher/core/EngineExecutionOrchestrator.java:141-152 @e55fefe</t>
        </is>
      </c>
      <c r="G85" s="8" t="inlineStr">
        <is>
          <t>Engines report with mutable TestDescriptors; ExecutionListenerAdapter implements EngineExecutionListener and forwards to a TestExecutionListener with immutable TestIdentifiers looked up in the TestPlan. Also part of Area C.</t>
        </is>
      </c>
      <c r="H85" s="8" t="inlineStr">
        <is>
          <t>preserved</t>
        </is>
      </c>
      <c r="I85" s="8" t="inlineStr">
        <is>
          <t>Not affected by CH01; participants unchanged.</t>
        </is>
      </c>
    </row>
    <row r="86">
      <c r="A86" s="8" t="inlineStr">
        <is>
          <t>Code after Change1</t>
        </is>
      </c>
      <c r="B86" s="8" t="inlineStr">
        <is>
          <t>Observer</t>
        </is>
      </c>
      <c r="C86" s="8" t="inlineStr">
        <is>
          <t>Behavioral</t>
        </is>
      </c>
      <c r="D86" s="8" t="inlineStr">
        <is>
          <t>B8 Execution Event Notification</t>
        </is>
      </c>
      <c r="E86" s="8" t="inlineStr">
        <is>
          <t>Observer=org.junit.platform.engine.EngineExecutionListener; ConcreteObserver=org.junit.platform.launcher.core.OutcomeDelayingEngineExecutionListener; ConcreteObserver=org.junit.platform.launcher.core.ExecutionListenerAdapter; Subject (notify)=org.junit.platform.engine.support.hierarchical.NodeTestTask#executeRecursively; Subject (notify)=org.junit.platform.engine.support.hierarchical.NodeTestTask#reportCompletion</t>
        </is>
      </c>
      <c r="F86" s="8" t="inlineStr">
        <is>
          <t>junit-platform-engine/src/main/java/org/junit/platform/engine/EngineExecutionListener.java:34-164 @e55fefe; junit-platform-launcher/src/main/java/org/junit/platform/launcher/core/OutcomeDelayingEngineExecutionListener.java:28-101 @e55fefe; junit-platform-launcher/src/main/java/org/junit/platform/launcher/core/ExecutionListenerAdapter.java:28-74 @e55fefe; junit-platform-engine/src/main/java/org/junit/platform/engine/support/hierarchical/NodeTestTask.java:157-189 @e55fefe; junit-platform-engine/src/main/java/org/junit/platform/engine/support/hierarchical/NodeTestTask.java:195-226 @e55fefe</t>
        </is>
      </c>
      <c r="G86" s="8" t="inlineStr">
        <is>
          <t>During execution NodeTestTask pushes executionStarted/Skipped/Finished to the EngineExecutionListener from the ExecutionRequest, without knowing who listens. Also part of Area C.</t>
        </is>
      </c>
      <c r="H86" s="8" t="inlineStr">
        <is>
          <t>preserved</t>
        </is>
      </c>
      <c r="I86" s="8" t="inlineStr">
        <is>
          <t>Not affected by CH01; participants unchanged.</t>
        </is>
      </c>
    </row>
    <row r="87">
      <c r="A87" s="8" t="inlineStr">
        <is>
          <t>Code after Change1</t>
        </is>
      </c>
      <c r="B87" s="8" t="inlineStr">
        <is>
          <t>Command</t>
        </is>
      </c>
      <c r="C87" s="8" t="inlineStr">
        <is>
          <t>Behavioral</t>
        </is>
      </c>
      <c r="D87" s="8" t="inlineStr">
        <is>
          <t>B9 Node Execution Tasks</t>
        </is>
      </c>
      <c r="E87" s="8" t="inlineStr">
        <is>
          <t>Command=org.junit.platform.engine.support.hierarchical.HierarchicalTestExecutorService.TestTask; ConcreteCommand=org.junit.platform.engine.support.hierarchical.NodeTestTask; Invoker=org.junit.platform.engine.support.hierarchical.SameThreadHierarchicalTestExecutorService; Invoker=org.junit.platform.engine.support.hierarchical.ForkJoinPoolHierarchicalTestExecutorService</t>
        </is>
      </c>
      <c r="F87" s="8" t="inlineStr">
        <is>
          <t>junit-platform-engine/src/main/java/org/junit/platform/engine/support/hierarchical/HierarchicalTestExecutorService.java:88-116 @e55fefe; junit-platform-engine/src/main/java/org/junit/platform/engine/support/hierarchical/NodeTestTask.java:46-307 @e55fefe; junit-platform-engine/src/main/java/org/junit/platform/engine/support/hierarchical/SameThreadHierarchicalTestExecutorService.java:29-50 @e55fefe; junit-platform-engine/src/main/java/org/junit/platform/engine/support/hierarchical/ForkJoinPoolHierarchicalTestExecutorService.java:51-331 @e55fefe</t>
        </is>
      </c>
      <c r="G87" s="8" t="inlineStr">
        <is>
          <t>Each node's work is packaged as a TestTask object (execute + execution mode + lock) and handed to an executor service that decides when and on which thread to run it.</t>
        </is>
      </c>
      <c r="H87" s="8" t="inlineStr">
        <is>
          <t>preserved</t>
        </is>
      </c>
      <c r="I87" s="8" t="inlineStr">
        <is>
          <t>Not affected by CH01; participants unchanged.</t>
        </is>
      </c>
    </row>
    <row r="88">
      <c r="A88" s="8" t="inlineStr">
        <is>
          <t>Code after Change1</t>
        </is>
      </c>
      <c r="B88" s="8" t="inlineStr">
        <is>
          <t>Null Object</t>
        </is>
      </c>
      <c r="C88" s="8" t="inlineStr">
        <is>
          <t>Behavioral</t>
        </is>
      </c>
      <c r="D88" s="8" t="inlineStr">
        <is>
          <t>B10 No-op Node</t>
        </is>
      </c>
      <c r="E88" s="8" t="inlineStr">
        <is>
          <t>AbstractObject=org.junit.platform.engine.support.hierarchical.Node; NullObject provider=org.junit.platform.engine.support.hierarchical.NodeUtils#asNode; Client=org.junit.platform.engine.support.hierarchical.NodeTestTask</t>
        </is>
      </c>
      <c r="F88" s="8" t="inlineStr">
        <is>
          <t>junit-platform-engine/src/main/java/org/junit/platform/engine/support/hierarchical/Node.java:38-381 @e55fefe; junit-platform-engine/src/main/java/org/junit/platform/engine/support/hierarchical/NodeUtils.java:25-27 @e55fefe; junit-platform-engine/src/main/java/org/junit/platform/engine/support/hierarchical/NodeTestTask.java:46-307 @e55fefe</t>
        </is>
      </c>
      <c r="G88" s="8" t="inlineStr">
        <is>
          <t>A TestDescriptor that is not a Node gets a do-nothing Node from NodeUtils.asNode, so NodeTestTask never needs null checks.</t>
        </is>
      </c>
      <c r="H88" s="8" t="inlineStr">
        <is>
          <t>preserved</t>
        </is>
      </c>
      <c r="I88" s="8" t="inlineStr">
        <is>
          <t>Not affected by CH01; participants unchanged.</t>
        </is>
      </c>
    </row>
    <row r="89">
      <c r="A89" s="8" t="inlineStr">
        <is>
          <t>Code after Change1</t>
        </is>
      </c>
      <c r="B89" s="8" t="inlineStr">
        <is>
          <t>Observer</t>
        </is>
      </c>
      <c r="C89" s="8" t="inlineStr">
        <is>
          <t>Behavioral</t>
        </is>
      </c>
      <c r="D89" s="8" t="inlineStr">
        <is>
          <t>C1 Test Execution Listeners</t>
        </is>
      </c>
      <c r="E89" s="8" t="inlineStr">
        <is>
          <t>Observer=org.junit.platform.launcher.TestExecutionListener; ConcreteObserver=org.junit.platform.launcher.listeners.SummaryGeneratingListener; ConcreteObserver=org.junit.platform.launcher.listeners.LoggingListener; ConcreteObserver=org.junit.platform.launcher.listeners.UniqueIdTrackingListener; ConcreteObserver=org.junit.platform.launcher.jfr.FlightRecordingExecutionListener; ConcreteObserver=org.junit.platform.launcher.core.StreamInterceptingTestExecutionListener; Subject (attach)=org.junit.platform.launcher.core.DefaultLauncher#registerTestExecutionListeners; Subject (notify)=org.junit.platform.launcher.core.CompositeTestExecutionListener#notifyEach; ConcreteObserver=org.junit.platform.launcher.listeners.ClassSummaryListener</t>
        </is>
      </c>
      <c r="F89" s="8" t="inlineStr">
        <is>
          <t>junit-platform-launcher/src/main/java/org/junit/platform/launcher/TestExecutionListener.java:76-203 @e55fefe; junit-platform-launcher/src/main/java/org/junit/platform/launcher/listeners/SummaryGeneratingListener.java:37-125 @e55fefe; junit-platform-launcher/src/main/java/org/junit/platform/launcher/listeners/LoggingListener.java:39-132 @e55fefe; junit-platform-launcher/src/main/java/org/junit/platform/launcher/listeners/UniqueIdTrackingListener.java:94-217 @e55fefe; junit-platform-launcher/src/main/java/org/junit/platform/launcher/jfr/FlightRecordingExecutionListener.java:43-225 @e55fefe; junit-platform-launcher/src/main/java/org/junit/platform/launcher/core/StreamInterceptingTestExecutionListener.java:35-99 @e55fefe; junit-platform-launcher/src/main/java/org/junit/platform/launcher/core/DefaultLauncher.java:80-84 @e55fefe; junit-platform-launcher/src/main/java/org/junit/platform/launcher/core/CompositeTestExecutionListener.java:104-116 @e55fefe; junit-platform-launcher/src/main/java/org/junit/platform/launcher/listeners/ClassSummaryListener.java:59-269 @e55fefe</t>
        </is>
      </c>
      <c r="G89" s="8" t="inlineStr">
        <is>
          <t>Client-side observers (IDE, summary, logging, unique-id file, JFR, stdout capture) register three ways and are notified of the same run events; notifyEach isolates each listener's failure. Different from B8 (engine side).</t>
        </is>
      </c>
      <c r="H89" s="8" t="inlineStr">
        <is>
          <t>extended</t>
        </is>
      </c>
      <c r="I89" s="8" t="inlineStr">
        <is>
          <t>Added ConcreteObserver ClassSummaryListener (per-class summary + slowest tests, ServiceLoader-registered, disabled by default). ConcreteObserver SummaryGeneratingListener refactored internally (CH01a Extract Method count()); its role is unchanged.</t>
        </is>
      </c>
    </row>
    <row r="90">
      <c r="A90" s="8" t="inlineStr">
        <is>
          <t>Code after Change1</t>
        </is>
      </c>
      <c r="B90" s="8" t="inlineStr">
        <is>
          <t>Observer</t>
        </is>
      </c>
      <c r="C90" s="8" t="inlineStr">
        <is>
          <t>Behavioral</t>
        </is>
      </c>
      <c r="D90" s="8" t="inlineStr">
        <is>
          <t>C2 Launcher Session Notification</t>
        </is>
      </c>
      <c r="E90" s="8" t="inlineStr">
        <is>
          <t>Observer=org.junit.platform.launcher.LauncherSessionListener; Subject=org.junit.platform.launcher.core.DefaultLauncherSession; Multicaster=org.junit.platform.launcher.listeners.session.CompositeLauncherSessionListener</t>
        </is>
      </c>
      <c r="F90" s="8" t="inlineStr">
        <is>
          <t>junit-platform-launcher/src/main/java/org/junit/platform/launcher/LauncherSessionListener.java:43-67 @e55fefe; junit-platform-launcher/src/main/java/org/junit/platform/launcher/core/DefaultLauncherSession.java:35-159 @e55fefe; junit-platform-launcher/src/main/java/org/junit/platform/launcher/listeners/session/CompositeLauncherSessionListener.java:24-41 @e55fefe</t>
        </is>
      </c>
      <c r="G90" s="8" t="inlineStr">
        <is>
          <t>LauncherSessionListeners are told when a launcher session opens and closes by DefaultLauncherSession.</t>
        </is>
      </c>
      <c r="H90" s="8" t="inlineStr">
        <is>
          <t>preserved</t>
        </is>
      </c>
      <c r="I90" s="8" t="inlineStr">
        <is>
          <t>Not affected by CH01; participants unchanged.</t>
        </is>
      </c>
    </row>
    <row r="91">
      <c r="A91" s="8" t="inlineStr">
        <is>
          <t>Code after Change1</t>
        </is>
      </c>
      <c r="B91" s="8" t="inlineStr">
        <is>
          <t>Strategy</t>
        </is>
      </c>
      <c r="C91" s="8" t="inlineStr">
        <is>
          <t>Behavioral</t>
        </is>
      </c>
      <c r="D91" s="8" t="inlineStr">
        <is>
          <t>C3 Listener Notification Order</t>
        </is>
      </c>
      <c r="E91" s="8" t="inlineStr">
        <is>
          <t>Strategy + ConcreteStrategies (ORIGINAL, REVERSED)=org.junit.platform.launcher.core.IterationOrder; Context=org.junit.platform.launcher.core.CompositeTestExecutionListener#notifyEach; Context=org.junit.platform.launcher.core.CompositeEngineExecutionListener#notifyEach</t>
        </is>
      </c>
      <c r="F91" s="8" t="inlineStr">
        <is>
          <t>junit-platform-launcher/src/main/java/org/junit/platform/launcher/core/IterationOrder.java:18-35 @e55fefe; junit-platform-launcher/src/main/java/org/junit/platform/launcher/core/CompositeTestExecutionListener.java:104-116 @e55fefe; junit-platform-launcher/src/main/java/org/junit/platform/launcher/core/CompositeEngineExecutionListener.java:78-90 @e55fefe</t>
        </is>
      </c>
      <c r="G91" s="8" t="inlineStr">
        <is>
          <t>The order in which listeners are notified is an interchangeable algorithm: IterationOrder.ORIGINAL for started events, REVERSED for finished events, used by notifyEach.</t>
        </is>
      </c>
      <c r="H91" s="8" t="inlineStr">
        <is>
          <t>preserved</t>
        </is>
      </c>
      <c r="I91" s="8" t="inlineStr">
        <is>
          <t>Not affected by CH01; participants unchanged.</t>
        </is>
      </c>
    </row>
    <row r="92">
      <c r="A92" s="8" t="inlineStr">
        <is>
          <t>Code after Change1</t>
        </is>
      </c>
      <c r="B92" s="8" t="inlineStr">
        <is>
          <t>Strategy</t>
        </is>
      </c>
      <c r="C92" s="8" t="inlineStr">
        <is>
          <t>Behavioral</t>
        </is>
      </c>
      <c r="D92" s="8" t="inlineStr">
        <is>
          <t>C4 Pluggable Log Sink</t>
        </is>
      </c>
      <c r="E92" s="8" t="inlineStr">
        <is>
          <t>Strategy=java.util.function.BiConsumer; ConcreteStrategy factory=org.junit.platform.launcher.listeners.LoggingListener#forJavaUtilLogging; ConcreteStrategy factory=org.junit.platform.launcher.listeners.LoggingListener#forBiConsumer; Context=org.junit.platform.launcher.listeners.LoggingListener</t>
        </is>
      </c>
      <c r="F92" s="8" t="inlineStr">
        <is>
          <t>java.util.function.BiConsumer (JDK); junit-platform-launcher/src/main/java/org/junit/platform/launcher/listeners/LoggingListener.java:49-51 @e55fefe; junit-platform-launcher/src/main/java/org/junit/platform/launcher/listeners/LoggingListener.java:82-84 @e55fefe; junit-platform-launcher/src/main/java/org/junit/platform/launcher/listeners/LoggingListener.java:39-132 @e55fefe</t>
        </is>
      </c>
      <c r="G92" s="8" t="inlineStr">
        <is>
          <t>LoggingListener's behaviour is fixed but where log lines go is an injected BiConsumer (java.util.logging via forJavaUtilLogging, or any sink via forBiConsumer).</t>
        </is>
      </c>
      <c r="H92" s="8" t="inlineStr">
        <is>
          <t>preserved</t>
        </is>
      </c>
      <c r="I92" s="8" t="inlineStr">
        <is>
          <t>Not affected by CH01; participants unchanged.</t>
        </is>
      </c>
    </row>
    <row r="93">
      <c r="A93" s="8" t="inlineStr">
        <is>
          <t>Code after Change1</t>
        </is>
      </c>
      <c r="B93" s="8" t="inlineStr">
        <is>
          <t>Adapter</t>
        </is>
      </c>
      <c r="C93" s="8" t="inlineStr">
        <is>
          <t>Structural</t>
        </is>
      </c>
      <c r="D93" s="8" t="inlineStr">
        <is>
          <t>C5 Test Reporter Adapter</t>
        </is>
      </c>
      <c r="E93" s="8" t="inlineStr">
        <is>
          <t>Target=org.junit.jupiter.api.TestReporter; Adapter=org.junit.jupiter.engine.extension.DefaultTestReporter; Adaptee=org.junit.jupiter.engine.descriptor.AbstractExtensionContext#publishReportEntry</t>
        </is>
      </c>
      <c r="F93" s="8" t="inlineStr">
        <is>
          <t>junit-jupiter-api/src/main/java/org/junit/jupiter/api/TestReporter.java:47-231 @e55fefe; junit-jupiter-engine/src/main/java/org/junit/jupiter/engine/extension/DefaultTestReporter.java:24-47 @e55fefe; junit-jupiter-engine/src/main/java/org/junit/jupiter/engine/descriptor/AbstractExtensionContext.java:141-143 @e55fefe</t>
        </is>
      </c>
      <c r="G93" s="8" t="inlineStr">
        <is>
          <t>Tests call the simple TestReporter API; DefaultTestReporter implements it by calling ExtensionContext.publishReportEntry, which turns the map into a ReportEntry event.</t>
        </is>
      </c>
      <c r="H93" s="8" t="inlineStr">
        <is>
          <t>preserved</t>
        </is>
      </c>
      <c r="I93" s="8" t="inlineStr">
        <is>
          <t>Not affected by CH01; participants unchanged.</t>
        </is>
      </c>
    </row>
    <row r="94">
      <c r="A94" s="8" t="inlineStr">
        <is>
          <t>Code after Change1</t>
        </is>
      </c>
      <c r="B94" s="8" t="inlineStr">
        <is>
          <t>Decorator</t>
        </is>
      </c>
      <c r="C94" s="8" t="inlineStr">
        <is>
          <t>Structural</t>
        </is>
      </c>
      <c r="D94" s="8" t="inlineStr">
        <is>
          <t>C6 Captured Output Stream</t>
        </is>
      </c>
      <c r="E94" s="8" t="inlineStr">
        <is>
          <t>Component=java.io.PrintStream; ConcreteDecorator=org.junit.platform.launcher.core.StreamInterceptor; Installer / client=org.junit.platform.launcher.core.StreamInterceptingTestExecutionListener</t>
        </is>
      </c>
      <c r="F94" s="8" t="inlineStr">
        <is>
          <t>java.io.PrintStream (JDK); junit-platform-launcher/src/main/java/org/junit/platform/launcher/core/StreamInterceptor.java:27-145 @e55fefe; junit-platform-launcher/src/main/java/org/junit/platform/launcher/core/StreamInterceptingTestExecutionListener.java:35-99 @e55fefe</t>
        </is>
      </c>
      <c r="G94" s="8" t="inlineStr">
        <is>
          <t>StreamInterceptor extends PrintStream, wraps System.out/err, copies every write into a per-thread buffer and still forwards to the original stream (super.write).</t>
        </is>
      </c>
      <c r="H94" s="8" t="inlineStr">
        <is>
          <t>preserved</t>
        </is>
      </c>
      <c r="I94" s="8" t="inlineStr">
        <is>
          <t>Not affected by CH01; participants unchanged.</t>
        </is>
      </c>
    </row>
    <row r="95">
      <c r="A95" s="8" t="inlineStr">
        <is>
          <t>Code after Change1</t>
        </is>
      </c>
      <c r="B95" s="8" t="inlineStr">
        <is>
          <t>Null Object</t>
        </is>
      </c>
      <c r="C95" s="8" t="inlineStr">
        <is>
          <t>Behavioral</t>
        </is>
      </c>
      <c r="D95" s="8" t="inlineStr">
        <is>
          <t>C7 No-op Listeners</t>
        </is>
      </c>
      <c r="E95" s="8" t="inlineStr">
        <is>
          <t>NullObject holder=org.junit.platform.engine.EngineExecutionListener; NullObject holder=org.junit.platform.launcher.LauncherSessionListener; Client=org.junit.platform.launcher.listeners.session.LauncherSessionListeners</t>
        </is>
      </c>
      <c r="F95" s="8" t="inlineStr">
        <is>
          <t>junit-platform-engine/src/main/java/org/junit/platform/engine/EngineExecutionListener.java:34-164 @e55fefe; junit-platform-launcher/src/main/java/org/junit/platform/launcher/LauncherSessionListener.java:43-67 @e55fefe; junit-platform-launcher/src/main/java/org/junit/platform/launcher/listeners/session/LauncherSessionListeners.java:28-45 @e55fefe</t>
        </is>
      </c>
      <c r="G95" s="8" t="inlineStr">
        <is>
          <t>EngineExecutionListener.NOOP and LauncherSessionListener.NOOP stand in for 'no listener' so callers never check for null; LauncherSessionListeners returns NOOP for an empty list.</t>
        </is>
      </c>
      <c r="H95" s="8" t="inlineStr">
        <is>
          <t>preserved</t>
        </is>
      </c>
      <c r="I95" s="8" t="inlineStr">
        <is>
          <t>Not affected by CH01; participants unchanged.</t>
        </is>
      </c>
    </row>
    <row r="96">
      <c r="A96" s="8" t="inlineStr">
        <is>
          <t>Code after Change1</t>
        </is>
      </c>
      <c r="B96" s="8" t="inlineStr">
        <is>
          <t>Strategy</t>
        </is>
      </c>
      <c r="C96" s="8" t="inlineStr">
        <is>
          <t>Behavioral</t>
        </is>
      </c>
      <c r="D96" s="8" t="inlineStr">
        <is>
          <t>D1 Temp Directory Creation</t>
        </is>
      </c>
      <c r="E96" s="8" t="inlineStr">
        <is>
          <t>Strategy=org.junit.jupiter.api.io.TempDirFactory; ConcreteStrategy=org.junit.jupiter.api.io.TempDirFactory.Standard; Selection=org.junit.jupiter.engine.extension.TempDirectory#determineTempDirFactory; Context=org.junit.jupiter.engine.extension.TempDirectory</t>
        </is>
      </c>
      <c r="F96" s="8" t="inlineStr">
        <is>
          <t>junit-jupiter-api/src/main/java/org/junit/jupiter/api/io/TempDirFactory.java:49-100 @e55fefe; junit-jupiter-api/src/main/java/org/junit/jupiter/api/io/TempDirFactory.java:83-98 @e55fefe; junit-jupiter-engine/src/main/java/org/junit/jupiter/engine/extension/TempDirectory.java:194-200 @e55fefe; junit-jupiter-engine/src/main/java/org/junit/jupiter/engine/extension/TempDirectory.java:72-359 @e55fefe</t>
        </is>
      </c>
      <c r="G96" s="8" t="inlineStr">
        <is>
          <t>How a @TempDir directory is created is a TempDirFactory chosen from @TempDir(factory) or the configuration; TempDirFactory.Standard is the default.</t>
        </is>
      </c>
      <c r="H96" s="8" t="inlineStr">
        <is>
          <t>preserved</t>
        </is>
      </c>
      <c r="I96" s="8" t="inlineStr">
        <is>
          <t>Not affected by CH01; participants unchanged.</t>
        </is>
      </c>
    </row>
    <row r="97">
      <c r="A97" s="8" t="inlineStr">
        <is>
          <t>Code after Change1</t>
        </is>
      </c>
      <c r="B97" s="8" t="inlineStr">
        <is>
          <t>Strategy</t>
        </is>
      </c>
      <c r="C97" s="8" t="inlineStr">
        <is>
          <t>Behavioral</t>
        </is>
      </c>
      <c r="D97" s="8" t="inlineStr">
        <is>
          <t>D2 Temp Directory Deletion</t>
        </is>
      </c>
      <c r="E97" s="8" t="inlineStr">
        <is>
          <t>Strategy=org.junit.jupiter.api.io.TempDirDeletionStrategy; ConcreteStrategy=org.junit.jupiter.api.io.TempDirDeletionStrategy.IgnoreFailures; ConcreteStrategy=org.junit.jupiter.api.io.TempDirDeletionStrategy.Standard; Selection=org.junit.jupiter.engine.extension.TempDirectory#determineDeletionStrategy</t>
        </is>
      </c>
      <c r="F97" s="8" t="inlineStr">
        <is>
          <t>junit-jupiter-api/src/main/java/org/junit/jupiter/api/io/TempDirDeletionStrategy.java:71-474 @e55fefe; junit-jupiter-api/src/main/java/org/junit/jupiter/api/io/TempDirDeletionStrategy.java:97-149 @e55fefe; junit-jupiter-api/src/main/java/org/junit/jupiter/api/io/TempDirDeletionStrategy.java:165-360 @e55fefe; junit-jupiter-engine/src/main/java/org/junit/jupiter/engine/extension/TempDirectory.java:187-192 @e55fefe</t>
        </is>
      </c>
      <c r="G97" s="8" t="inlineStr">
        <is>
          <t>How a temp directory is deleted is a TempDirDeletionStrategy (IgnoreFailures or Standard) chosen from @TempDir(deletionStrategy) or the configuration and called from Cleanup.run.</t>
        </is>
      </c>
      <c r="H97" s="8" t="inlineStr">
        <is>
          <t>preserved</t>
        </is>
      </c>
      <c r="I97" s="8" t="inlineStr">
        <is>
          <t>Not affected by CH01; participants unchanged.</t>
        </is>
      </c>
    </row>
    <row r="98">
      <c r="A98" s="8" t="inlineStr">
        <is>
          <t>Code after Change1</t>
        </is>
      </c>
      <c r="B98" s="8" t="inlineStr">
        <is>
          <t>Strategy</t>
        </is>
      </c>
      <c r="C98" s="8" t="inlineStr">
        <is>
          <t>Behavioral</t>
        </is>
      </c>
      <c r="D98" s="8" t="inlineStr">
        <is>
          <t>D3 Parameter Resolution</t>
        </is>
      </c>
      <c r="E98" s="8" t="inlineStr">
        <is>
          <t>Strategy=org.junit.jupiter.api.extension.ParameterResolver; ConcreteStrategy=org.junit.jupiter.engine.extension.TempDirectory; ConcreteStrategy=org.junit.jupiter.engine.extension.TestInfoParameterResolver; ConcreteStrategy=org.junit.jupiter.engine.extension.TestReporterParameterResolver; Context=org.junit.jupiter.engine.execution.ParameterResolutionUtils#resolveParameter</t>
        </is>
      </c>
      <c r="F98" s="8" t="inlineStr">
        <is>
          <t>junit-jupiter-api/src/main/java/org/junit/jupiter/api/extension/ParameterResolver.java:69-116 @e55fefe; junit-jupiter-engine/src/main/java/org/junit/jupiter/engine/extension/TempDirectory.java:72-359 @e55fefe; junit-jupiter-engine/src/main/java/org/junit/jupiter/engine/extension/TestInfoParameterResolver.java:30-100 @e55fefe; junit-jupiter-engine/src/main/java/org/junit/jupiter/engine/extension/TestReporterParameterResolver.java:23-40 @e55fefe; junit-jupiter-engine/src/main/java/org/junit/jupiter/engine/execution/ParameterResolutionUtils.java:127-180 @e55fefe</t>
        </is>
      </c>
      <c r="G98" s="8" t="inlineStr">
        <is>
          <t>For each parameter the context asks every ParameterResolver supportsParameter; exactly one must match and its resolveParameter supplies the value (none or several is an error).</t>
        </is>
      </c>
      <c r="H98" s="8" t="inlineStr">
        <is>
          <t>preserved</t>
        </is>
      </c>
      <c r="I98" s="8" t="inlineStr">
        <is>
          <t>Not affected by CH01; participants unchanged.</t>
        </is>
      </c>
    </row>
    <row r="99">
      <c r="A99" s="8" t="inlineStr">
        <is>
          <t>Code after Change1</t>
        </is>
      </c>
      <c r="B99" s="8" t="inlineStr">
        <is>
          <t>Strategy</t>
        </is>
      </c>
      <c r="C99" s="8" t="inlineStr">
        <is>
          <t>Behavioral</t>
        </is>
      </c>
      <c r="D99" s="8" t="inlineStr">
        <is>
          <t>D4 Conditional Execution</t>
        </is>
      </c>
      <c r="E99" s="8" t="inlineStr">
        <is>
          <t>Strategy=org.junit.jupiter.api.extension.ExecutionCondition; ConcreteStrategy=org.junit.jupiter.engine.extension.DisabledCondition; Context=org.junit.jupiter.engine.execution.ConditionEvaluator#evaluate; Caller=org.junit.jupiter.engine.descriptor.JupiterTestDescriptor#shouldBeSkipped</t>
        </is>
      </c>
      <c r="F99" s="8" t="inlineStr">
        <is>
          <t>junit-jupiter-api/src/main/java/org/junit/jupiter/api/extension/ExecutionCondition.java:58-73 @e55fefe; junit-jupiter-engine/src/main/java/org/junit/jupiter/engine/extension/DisabledCondition.java:31-54 @e55fefe; junit-jupiter-engine/src/main/java/org/junit/jupiter/engine/execution/ConditionEvaluator.java:48-59 @e55fefe; junit-jupiter-engine/src/main/java/org/junit/jupiter/engine/descriptor/JupiterTestDescriptor.java:227-232 @e55fefe</t>
        </is>
      </c>
      <c r="G99" s="8" t="inlineStr">
        <is>
          <t>Each ExecutionCondition encapsulates an enable/disable policy; ConditionEvaluator applies all of them and the first 'disabled' wins.</t>
        </is>
      </c>
      <c r="H99" s="8" t="inlineStr">
        <is>
          <t>preserved</t>
        </is>
      </c>
      <c r="I99" s="8" t="inlineStr">
        <is>
          <t>Not affected by CH01; participants unchanged.</t>
        </is>
      </c>
    </row>
    <row r="100">
      <c r="A100" s="8" t="inlineStr">
        <is>
          <t>Code after Change1</t>
        </is>
      </c>
      <c r="B100" s="8" t="inlineStr">
        <is>
          <t>Strategy</t>
        </is>
      </c>
      <c r="C100" s="8" t="inlineStr">
        <is>
          <t>Behavioral</t>
        </is>
      </c>
      <c r="D100" s="8" t="inlineStr">
        <is>
          <t>D5 Store Close Action</t>
        </is>
      </c>
      <c r="E100" s="8" t="inlineStr">
        <is>
          <t>Strategy=org.junit.platform.engine.support.store.NamespacedHierarchicalStore.CloseAction; ConcreteStrategy (lambda)=org.junit.jupiter.engine.descriptor.AbstractExtensionContext#createCloseAction; Context=org.junit.platform.engine.support.store.NamespacedHierarchicalStore#close</t>
        </is>
      </c>
      <c r="F100" s="8" t="inlineStr">
        <is>
          <t>junit-platform-engine/src/main/java/org/junit/platform/engine/support/store/NamespacedHierarchicalStore.java:734-761 @e55fefe; junit-jupiter-engine/src/main/java/org/junit/jupiter/engine/descriptor/AbstractExtensionContext.java:103-123 @e55fefe; junit-platform-engine/src/main/java/org/junit/platform/engine/support/store/NamespacedHierarchicalStore.java:135-165 @e55fefe</t>
        </is>
      </c>
      <c r="G100" s="8" t="inlineStr">
        <is>
          <t>The platform store does not know how to close Jupiter values, so AbstractExtensionContext injects a CloseAction (close AutoCloseable / CloseableResource values).</t>
        </is>
      </c>
      <c r="H100" s="8" t="inlineStr">
        <is>
          <t>preserved</t>
        </is>
      </c>
      <c r="I100" s="8" t="inlineStr">
        <is>
          <t>Not affected by CH01; participants unchanged.</t>
        </is>
      </c>
    </row>
    <row r="101">
      <c r="A101" s="8" t="inlineStr">
        <is>
          <t>Code after Change1</t>
        </is>
      </c>
      <c r="B101" s="8" t="inlineStr">
        <is>
          <t>Adapter</t>
        </is>
      </c>
      <c r="C101" s="8" t="inlineStr">
        <is>
          <t>Structural</t>
        </is>
      </c>
      <c r="D101" s="8" t="inlineStr">
        <is>
          <t>D6 Extension Store Adapter</t>
        </is>
      </c>
      <c r="E101" s="8" t="inlineStr">
        <is>
          <t>Target=org.junit.jupiter.api.extension.ExtensionContext.Store; Adapter=org.junit.jupiter.engine.execution.NamespaceAwareStore; Adaptee=org.junit.platform.engine.support.store.NamespacedHierarchicalStore; Adapter factory=org.junit.jupiter.engine.execution.LauncherStoreFacade#getStoreAdapter; Client=org.junit.jupiter.engine.descriptor.AbstractExtensionContext#getStore</t>
        </is>
      </c>
      <c r="F101" s="8" t="inlineStr">
        <is>
          <t>junit-jupiter-api/src/main/java/org/junit/jupiter/api/extension/ExtensionContext.java:526-897 @e55fefe; junit-jupiter-engine/src/main/java/org/junit/jupiter/engine/execution/NamespaceAwareStore.java:31-127 @e55fefe; junit-platform-engine/src/main/java/org/junit/platform/engine/support/store/NamespacedHierarchicalStore.java:56-763 @e55fefe; junit-jupiter-engine/src/main/java/org/junit/jupiter/engine/execution/LauncherStoreFacade.java:46-50 @e55fefe; junit-jupiter-engine/src/main/java/org/junit/jupiter/engine/descriptor/AbstractExtensionContext.java:219-221 @e55fefe</t>
        </is>
      </c>
      <c r="G101" s="8" t="inlineStr">
        <is>
          <t>Extensions use the namespace-scoped ExtensionContext.Store; NamespaceAwareStore implements it on top of the platform NamespacedHierarchicalStore, fixing the namespace and translating exceptions.</t>
        </is>
      </c>
      <c r="H101" s="8" t="inlineStr">
        <is>
          <t>preserved</t>
        </is>
      </c>
      <c r="I101" s="8" t="inlineStr">
        <is>
          <t>Not affected by CH01; participants unchanged.</t>
        </is>
      </c>
    </row>
    <row r="102">
      <c r="A102" s="8" t="inlineStr">
        <is>
          <t>Code after Change1</t>
        </is>
      </c>
      <c r="B102" s="8" t="inlineStr">
        <is>
          <t>Adapter</t>
        </is>
      </c>
      <c r="C102" s="8" t="inlineStr">
        <is>
          <t>Structural</t>
        </is>
      </c>
      <c r="D102" s="8" t="inlineStr">
        <is>
          <t>D7 Lifecycle Method Adapters</t>
        </is>
      </c>
      <c r="E102" s="8" t="inlineStr">
        <is>
          <t>Target=org.junit.jupiter.engine.execution.BeforeEachMethodAdapter; Target=org.junit.jupiter.engine.execution.AfterEachMethodAdapter; Adapter (lambda)=org.junit.jupiter.engine.descriptor.ClassBasedTestDescriptor#synthesizeBeforeEachMethodAdapter; Adapter (lambda)=org.junit.jupiter.engine.descriptor.ClassBasedTestDescriptor#synthesizeAfterEachMethodAdapter; Client=org.junit.jupiter.engine.descriptor.TestMethodTestDescriptor#invokeBeforeEachMethods</t>
        </is>
      </c>
      <c r="F102" s="8" t="inlineStr">
        <is>
          <t>junit-jupiter-engine/src/main/java/org/junit/jupiter/engine/execution/BeforeEachMethodAdapter.java:29-33 @e55fefe; junit-jupiter-engine/src/main/java/org/junit/jupiter/engine/execution/AfterEachMethodAdapter.java:29-33 @e55fefe; junit-jupiter-engine/src/main/java/org/junit/jupiter/engine/descriptor/ClassBasedTestDescriptor.java:533-536 @e55fefe; junit-jupiter-engine/src/main/java/org/junit/jupiter/engine/descriptor/ClassBasedTestDescriptor.java:538-541 @e55fefe; junit-jupiter-engine/src/main/java/org/junit/jupiter/engine/descriptor/TestMethodTestDescriptor.java:187-197 @e55fefe</t>
        </is>
      </c>
      <c r="G102" s="8" t="inlineStr">
        <is>
          <t>A user's @BeforeEach/@AfterEach Method is wrapped as a synthetic extension implementing BeforeEachMethodAdapter/AfterEachMethodAdapter so it runs through the extension ordering. Adapters are lambdas (no named class).</t>
        </is>
      </c>
      <c r="H102" s="8" t="inlineStr">
        <is>
          <t>preserved</t>
        </is>
      </c>
      <c r="I102" s="8" t="inlineStr">
        <is>
          <t>Not affected by CH01; participants unchanged.</t>
        </is>
      </c>
    </row>
    <row r="103">
      <c r="A103" s="8" t="inlineStr">
        <is>
          <t>Code after Change1</t>
        </is>
      </c>
      <c r="B103" s="8" t="inlineStr">
        <is>
          <t>Observer</t>
        </is>
      </c>
      <c r="C103" s="8" t="inlineStr">
        <is>
          <t>Behavioral</t>
        </is>
      </c>
      <c r="D103" s="8" t="inlineStr">
        <is>
          <t>D8 Test Outcome Watchers</t>
        </is>
      </c>
      <c r="E103" s="8" t="inlineStr">
        <is>
          <t>Observer=org.junit.jupiter.api.extension.TestWatcher; ConcreteObserver=org.junit.jupiter.engine.extension.RepetitionExtension; Subject (notify)=org.junit.jupiter.engine.descriptor.MethodBasedTestDescriptor#invokeTestWatchers; Subject (trigger)=org.junit.jupiter.engine.descriptor.TestMethodTestDescriptor#nodeFinished</t>
        </is>
      </c>
      <c r="F103" s="8" t="inlineStr">
        <is>
          <t>junit-jupiter-api/src/main/java/org/junit/jupiter/api/extension/TestWatcher.java:70-124 @e55fefe; junit-jupiter-engine/src/main/java/org/junit/jupiter/engine/extension/RepetitionExtension.java:41-78 @e55fefe; junit-jupiter-engine/src/main/java/org/junit/jupiter/engine/descriptor/MethodBasedTestDescriptor.java:166-192 @e55fefe; junit-jupiter-engine/src/main/java/org/junit/jupiter/engine/descriptor/TestMethodTestDescriptor.java:278-291 @e55fefe</t>
        </is>
      </c>
      <c r="G103" s="8" t="inlineStr">
        <is>
          <t>TestWatcher extensions are told each test's outcome and cannot change it; their exceptions are only logged.</t>
        </is>
      </c>
      <c r="H103" s="8" t="inlineStr">
        <is>
          <t>preserved</t>
        </is>
      </c>
      <c r="I103" s="8" t="inlineStr">
        <is>
          <t>Not affected by CH01; participants unchanged.</t>
        </is>
      </c>
    </row>
    <row r="104">
      <c r="A104" s="8" t="inlineStr">
        <is>
          <t>Code after Change1</t>
        </is>
      </c>
      <c r="B104" s="8" t="inlineStr">
        <is>
          <t>Chain of Responsibility</t>
        </is>
      </c>
      <c r="C104" s="8" t="inlineStr">
        <is>
          <t>Behavioral</t>
        </is>
      </c>
      <c r="D104" s="8" t="inlineStr">
        <is>
          <t>D9 Invocation Interceptor Chain</t>
        </is>
      </c>
      <c r="E104" s="8" t="inlineStr">
        <is>
          <t>Handler=org.junit.jupiter.api.extension.InvocationInterceptor; ConcreteHandler=org.junit.jupiter.engine.extension.TimeoutExtension; Chain builder=org.junit.jupiter.engine.execution.InvocationInterceptorChain#chainInterceptors; Link to next handler=org.junit.jupiter.engine.execution.InvocationInterceptorChain.InterceptedInvocation; Client=org.junit.jupiter.engine.execution.InterceptingExecutableInvoker</t>
        </is>
      </c>
      <c r="F104" s="8" t="inlineStr">
        <is>
          <t>junit-jupiter-api/src/main/java/org/junit/jupiter/api/extension/InvocationInterceptor.java:64-253 @e55fefe; junit-jupiter-engine/src/main/java/org/junit/jupiter/engine/extension/TimeoutExtension.java:36-217 @e55fefe; junit-jupiter-engine/src/main/java/org/junit/jupiter/engine/execution/InvocationInterceptorChain.java:52-62 @e55fefe; junit-jupiter-engine/src/main/java/org/junit/jupiter/engine/execution/InvocationInterceptorChain.java:94-106 @e55fefe; junit-jupiter-engine/src/main/java/org/junit/jupiter/engine/execution/InterceptingExecutableInvoker.java:40-137 @e55fefe</t>
        </is>
      </c>
      <c r="G104" s="8" t="inlineStr">
        <is>
          <t>Every test/lifecycle/constructor call passes through a chain of InvocationInterceptors built back to front; each handler can proceed(), skip() or wrap the rest of the chain (interceptor-chain variant).</t>
        </is>
      </c>
      <c r="H104" s="8" t="inlineStr">
        <is>
          <t>preserved</t>
        </is>
      </c>
      <c r="I104" s="8" t="inlineStr">
        <is>
          <t>Not affected by CH01; participants unchanged.</t>
        </is>
      </c>
    </row>
    <row r="105">
      <c r="A105" s="8" t="inlineStr">
        <is>
          <t>Code after Change1</t>
        </is>
      </c>
      <c r="B105" s="8" t="inlineStr">
        <is>
          <t>Decorator</t>
        </is>
      </c>
      <c r="C105" s="8" t="inlineStr">
        <is>
          <t>Structural</t>
        </is>
      </c>
      <c r="D105" s="8" t="inlineStr">
        <is>
          <t>D10 Timeout Invocation Wrappers</t>
        </is>
      </c>
      <c r="E105" s="8" t="inlineStr">
        <is>
          <t>Component=org.junit.jupiter.api.extension.InvocationInterceptor.Invocation; ConcreteDecorator=org.junit.jupiter.engine.extension.SameThreadTimeoutInvocation; ConcreteDecorator=org.junit.jupiter.engine.extension.SeparateThreadTimeoutInvocation; ConcreteDecorator=org.junit.jupiter.engine.execution.InvocationInterceptorChain.ValidatingInvocation; Client=org.junit.jupiter.engine.extension.TimeoutExtension#decorate</t>
        </is>
      </c>
      <c r="F105" s="8" t="inlineStr">
        <is>
          <t>junit-jupiter-api/src/main/java/org/junit/jupiter/api/extension/InvocationInterceptor.java:231-251 @e55fefe; junit-jupiter-engine/src/main/java/org/junit/jupiter/engine/extension/SameThreadTimeoutInvocation.java:26-99 @e55fefe; junit-jupiter-engine/src/main/java/org/junit/jupiter/engine/extension/SeparateThreadTimeoutInvocation.java:24-52 @e55fefe; junit-jupiter-engine/src/main/java/org/junit/jupiter/engine/execution/InvocationInterceptorChain.java:108-151 @e55fefe; junit-jupiter-engine/src/main/java/org/junit/jupiter/engine/extension/TimeoutExtension.java:178-190 @e55fefe</t>
        </is>
      </c>
      <c r="G105" s="8" t="inlineStr">
        <is>
          <t>TimeoutExtension.decorate wraps the Invocation in a timeout-aware Invocation that keeps the original as delegate and adds timing around delegate.proceed(); ValidatingInvocation adds a call-once check.</t>
        </is>
      </c>
      <c r="H105" s="8" t="inlineStr">
        <is>
          <t>preserved</t>
        </is>
      </c>
      <c r="I105" s="8" t="inlineStr">
        <is>
          <t>Not affected by CH01; participants unchanged.</t>
        </is>
      </c>
    </row>
    <row r="106">
      <c r="A106" s="8" t="inlineStr">
        <is>
          <t>Code after Change1</t>
        </is>
      </c>
      <c r="B106" s="8" t="inlineStr">
        <is>
          <t>Command</t>
        </is>
      </c>
      <c r="C106" s="8" t="inlineStr">
        <is>
          <t>Behavioral</t>
        </is>
      </c>
      <c r="D106" s="8" t="inlineStr">
        <is>
          <t>D11 Packaged Reflective Calls</t>
        </is>
      </c>
      <c r="E106" s="8" t="inlineStr">
        <is>
          <t>Command=org.junit.jupiter.api.extension.InvocationInterceptor.Invocation; ConcreteCommand=org.junit.jupiter.engine.execution.MethodInvocation; ConcreteCommand=org.junit.jupiter.engine.execution.ConstructorInvocation; Client=org.junit.jupiter.engine.execution.InterceptingExecutableInvoker</t>
        </is>
      </c>
      <c r="F106" s="8" t="inlineStr">
        <is>
          <t>junit-jupiter-api/src/main/java/org/junit/jupiter/api/extension/InvocationInterceptor.java:231-251 @e55fefe; junit-jupiter-engine/src/main/java/org/junit/jupiter/engine/execution/MethodInvocation.java:25-64 @e55fefe; junit-jupiter-engine/src/main/java/org/junit/jupiter/engine/execution/ConstructorInvocation.java:25-60 @e55fefe; junit-jupiter-engine/src/main/java/org/junit/jupiter/engine/execution/InterceptingExecutableInvoker.java:40-137 @e55fefe</t>
        </is>
      </c>
      <c r="G106" s="8" t="inlineStr">
        <is>
          <t>A resolved reflective call (method or constructor + target + arguments) is packaged as an Invocation object so interceptors can run it later, on another thread, or skip it.</t>
        </is>
      </c>
      <c r="H106" s="8" t="inlineStr">
        <is>
          <t>preserved</t>
        </is>
      </c>
      <c r="I106" s="8" t="inlineStr">
        <is>
          <t>Not affected by CH01; participants unchanged.</t>
        </is>
      </c>
    </row>
    <row r="107">
      <c r="A107" s="8" t="inlineStr">
        <is>
          <t>Code after Change2</t>
        </is>
      </c>
      <c r="B107" s="8" t="inlineStr">
        <is>
          <t>Composite</t>
        </is>
      </c>
      <c r="C107" s="8" t="inlineStr">
        <is>
          <t>Structural</t>
        </is>
      </c>
      <c r="D107" s="8" t="inlineStr">
        <is>
          <t>A1 Test Descriptor Tree</t>
        </is>
      </c>
      <c r="E107" s="8" t="inlineStr">
        <is>
          <t>Component=org.junit.platform.engine.TestDescriptor; Composite (base)=org.junit.platform.engine.support.descriptor.AbstractTestDescriptor; Composite=org.junit.platform.engine.support.descriptor.EngineDescriptor; Composite=org.junit.jupiter.engine.descriptor.JupiterEngineDescriptor; Composite=org.junit.jupiter.engine.descriptor.ClassTestDescriptor; Composite=org.junit.jupiter.engine.descriptor.NestedClassTestDescriptor; Composite=org.junit.jupiter.engine.descriptor.ClassTemplateTestDescriptor; Composite=org.junit.jupiter.engine.descriptor.ClassTemplateInvocationTestDescriptor; Composite=org.junit.jupiter.engine.descriptor.TestTemplateTestDescriptor; Composite=org.junit.jupiter.engine.descriptor.TestFactoryTestDescriptor; Composite=org.junit.jupiter.engine.descriptor.DynamicContainerTestDescriptor; Leaf=org.junit.jupiter.engine.descriptor.TestMethodTestDescriptor; Leaf=org.junit.jupiter.engine.descriptor.TestTemplateInvocationTestDescriptor; Leaf=org.junit.jupiter.engine.descriptor.DynamicTestTestDescriptor; Client=org.junit.platform.launcher.core.EngineDiscoveryOrchestrator#applyPostDiscoveryFilters; Client=org.junit.platform.engine.support.hierarchical.NodeTestTask#executeRecursively</t>
        </is>
      </c>
      <c r="F107" s="8" t="inlineStr">
        <is>
          <t>Part2/code/junit-platform-engine/src/main/java/org/junit/platform/engine/TestDescriptor.java:37-427; Part2/code/junit-platform-engine/src/main/java/org/junit/platform/engine/support/descriptor/AbstractTestDescriptor.java:42-248; Part2/code/junit-platform-engine/src/main/java/org/junit/platform/engine/support/descriptor/EngineDescriptor.java:25-53; Part2/code/junit-jupiter-engine/src/main/java/org/junit/jupiter/engine/descriptor/JupiterEngineDescriptor.java:30-70; Part2/code/junit-jupiter-engine/src/main/java/org/junit/jupiter/engine/descriptor/ClassTestDescriptor.java:47-106; Part2/code/junit-jupiter-engine/src/main/java/org/junit/jupiter/engine/descriptor/NestedClassTestDescriptor.java:49-121; Part2/code/junit-jupiter-engine/src/main/java/org/junit/jupiter/engine/descriptor/ClassTemplateTestDescriptor.java:51-277; Part2/code/junit-jupiter-engine/src/main/java/org/junit/jupiter/engine/descriptor/ClassTemplateInvocationTestDescriptor.java:48-202; Part2/code/junit-jupiter-engine/src/main/java/org/junit/jupiter/engine/descriptor/TestTemplateTestDescriptor.java:41-167; Part2/code/junit-jupiter-engine/src/main/java/org/junit/jupiter/engine/descriptor/TestFactoryTestDescriptor.java:56-223; Part2/code/junit-jupiter-engine/src/main/java/org/junit/jupiter/engine/descriptor/DynamicContainerTestDescriptor.java:34-88; Part2/code/junit-jupiter-engine/src/main/java/org/junit/jupiter/engine/descriptor/TestMethodTestDescriptor.java:71-293; Part2/code/junit-jupiter-engine/src/main/java/org/junit/jupiter/engine/descriptor/TestTemplateInvocationTestDescriptor.java:42-104; Part2/code/junit-jupiter-engine/src/main/java/org/junit/jupiter/engine/descriptor/DynamicTestTestDescriptor.java:37-100; Part2/code/junit-platform-launcher/src/main/java/org/junit/platform/launcher/core/EngineDiscoveryOrchestrator.java:229-242; Part2/code/junit-platform-engine/src/main/java/org/junit/platform/engine/support/hierarchical/NodeTestTask.java:157-189</t>
        </is>
      </c>
      <c r="G107" s="8" t="inlineStr">
        <is>
          <t>Engines build one tree of TestDescriptor nodes (engine &gt; class &gt; nested class &gt; method &gt; dynamic test); the launcher filters, prunes, visits and executes it without knowing node kinds. Evidence: TestDescriptor.accept visits itself then calls child.accept(visitor); AbstractTestDescriptor holds the children set and findByUniqueId recurses; NodeTestTask creates one child task per child. Transparent variant: leaf vs container is decided by getType().</t>
        </is>
      </c>
      <c r="H107" s="8" t="inlineStr">
        <is>
          <t>preserved</t>
        </is>
      </c>
      <c r="I107" s="8" t="inlineStr">
        <is>
          <t>Not affected by CH02; participants unchanged.</t>
        </is>
      </c>
    </row>
    <row r="108">
      <c r="A108" s="8" t="inlineStr">
        <is>
          <t>Code after Change2</t>
        </is>
      </c>
      <c r="B108" s="8" t="inlineStr">
        <is>
          <t>Composite</t>
        </is>
      </c>
      <c r="C108" s="8" t="inlineStr">
        <is>
          <t>Structural</t>
        </is>
      </c>
      <c r="D108" s="8" t="inlineStr">
        <is>
          <t>A2 Composed Discovery Filter</t>
        </is>
      </c>
      <c r="E108" s="8" t="inlineStr">
        <is>
          <t>Component=org.junit.platform.engine.Filter; Composite=org.junit.platform.engine.CompositeFilter; Leaf=org.junit.platform.launcher.IncludeMethodFilter; Leaf=org.junit.platform.launcher.ExcludeMethodFilter; Leaf (lambda factory)=org.junit.platform.launcher.TagFilter; Client=org.junit.platform.launcher.core.EngineDiscoveryOrchestrator#applyPostDiscoveryFilters; Leaf=org.junit.platform.launcher.core.FilterPolicy</t>
        </is>
      </c>
      <c r="F108" s="8" t="inlineStr">
        <is>
          <t>Part2/code/junit-platform-engine/src/main/java/org/junit/platform/engine/Filter.java:41-119; Part2/code/junit-platform-engine/src/main/java/org/junit/platform/engine/CompositeFilter.java:29-89; Part2/code/junit-platform-launcher/src/main/java/org/junit/platform/launcher/IncludeMethodFilter.java:31-58; Part2/code/junit-platform-launcher/src/main/java/org/junit/platform/launcher/ExcludeMethodFilter.java:31-58; Part2/code/junit-platform-launcher/src/main/java/org/junit/platform/launcher/TagFilter.java:48-184; Part2/code/junit-platform-launcher/src/main/java/org/junit/platform/launcher/core/EngineDiscoveryOrchestrator.java:229-242; Part2/code/junit-platform-launcher/src/main/java/org/junit/platform/launcher/core/FilterPolicy.java:45-114</t>
        </is>
      </c>
      <c r="G108" s="8" t="inlineStr">
        <is>
          <t>All post-discovery filters are merged into one Filter by Filter.composeFilters; CompositeFilter implements Filter, holds a list of Filters and combines their FilterResults into one answer (first exclusion wins). Overlaps A3 (same leaf classes seen as strategies).</t>
        </is>
      </c>
      <c r="H108" s="8" t="inlineStr">
        <is>
          <t>preserved</t>
        </is>
      </c>
      <c r="I108" s="8" t="inlineStr">
        <is>
          <t>Not affected by CH02; participants unchanged.</t>
        </is>
      </c>
    </row>
    <row r="109">
      <c r="A109" s="8" t="inlineStr">
        <is>
          <t>Code after Change2</t>
        </is>
      </c>
      <c r="B109" s="8" t="inlineStr">
        <is>
          <t>Strategy</t>
        </is>
      </c>
      <c r="C109" s="8" t="inlineStr">
        <is>
          <t>Behavioral</t>
        </is>
      </c>
      <c r="D109" s="8" t="inlineStr">
        <is>
          <t>A3 Post-Discovery Filter Policies</t>
        </is>
      </c>
      <c r="E109" s="8" t="inlineStr">
        <is>
          <t>Strategy=org.junit.platform.launcher.PostDiscoveryFilter; ConcreteStrategy=org.junit.platform.launcher.IncludeMethodFilter; ConcreteStrategy=org.junit.platform.launcher.ExcludeMethodFilter; ConcreteStrategy (lambdas)=org.junit.platform.launcher.TagFilter; Context=org.junit.platform.launcher.core.EngineDiscoveryOrchestrator#applyPostDiscoveryFilters; ConcreteStrategy=org.junit.platform.launcher.core.FilterPolicy; Context (assembles strategies)=org.junit.platform.launcher.core.EngineDiscoveryOrchestrator#collectPostDiscoveryFilters</t>
        </is>
      </c>
      <c r="F109" s="8" t="inlineStr">
        <is>
          <t>Part2/code/junit-platform-launcher/src/main/java/org/junit/platform/launcher/PostDiscoveryFilter.java:35-36; Part2/code/junit-platform-launcher/src/main/java/org/junit/platform/launcher/IncludeMethodFilter.java:31-58; Part2/code/junit-platform-launcher/src/main/java/org/junit/platform/launcher/ExcludeMethodFilter.java:31-58; Part2/code/junit-platform-launcher/src/main/java/org/junit/platform/launcher/TagFilter.java:48-184; Part2/code/junit-platform-launcher/src/main/java/org/junit/platform/launcher/core/EngineDiscoveryOrchestrator.java:229-242; Part2/code/junit-platform-launcher/src/main/java/org/junit/platform/launcher/core/FilterPolicy.java:45-114; Part2/code/junit-platform-launcher/src/main/java/org/junit/platform/launcher/core/EngineDiscoveryOrchestrator.java:186-191</t>
        </is>
      </c>
      <c r="G109" s="8" t="inlineStr">
        <is>
          <t>Selection rules (tag expressions, method-name patterns, custom filters) are interchangeable algorithms behind PostDiscoveryFilter; EngineDiscoveryOrchestrator only calls apply(). Overlaps A2.</t>
        </is>
      </c>
      <c r="H109" s="8" t="inlineStr">
        <is>
          <t>preserved</t>
        </is>
      </c>
      <c r="I109" s="8" t="inlineStr">
        <is>
          <t>Not affected by CH02; participants unchanged.</t>
        </is>
      </c>
    </row>
    <row r="110">
      <c r="A110" s="8" t="inlineStr">
        <is>
          <t>Code after Change2</t>
        </is>
      </c>
      <c r="B110" s="8" t="inlineStr">
        <is>
          <t>Template Method</t>
        </is>
      </c>
      <c r="C110" s="8" t="inlineStr">
        <is>
          <t>Behavioral</t>
        </is>
      </c>
      <c r="D110" s="8" t="inlineStr">
        <is>
          <t>A4 Jupiter Descriptor Skeletons</t>
        </is>
      </c>
      <c r="E110" s="8" t="inlineStr">
        <is>
          <t>AbstractClass=org.junit.jupiter.engine.descriptor.JupiterTestDescriptor; TemplateMethod=org.junit.jupiter.engine.descriptor.JupiterTestDescriptor#getExecutionMode; TemplateMethod=org.junit.jupiter.engine.descriptor.JupiterTestDescriptor#getLegacyReportingName; TemplateMethod=org.junit.jupiter.engine.descriptor.JupiterTestDescriptor#copyIncludingDescendants; PrimitiveOperation=org.junit.jupiter.engine.descriptor.JupiterTestDescriptor#withUniqueId; ConcreteClass (hook)=org.junit.jupiter.engine.descriptor.ClassBasedTestDescriptor#getExplicitExecutionMode; ConcreteClass (hook)=org.junit.jupiter.engine.descriptor.MethodBasedTestDescriptor#getExplicitExecutionMode; ConcreteClass (primitive)=org.junit.jupiter.engine.descriptor.ClassTestDescriptor#withUniqueId</t>
        </is>
      </c>
      <c r="F110" s="8" t="inlineStr">
        <is>
          <t>Part2/code/junit-jupiter-engine/src/main/java/org/junit/jupiter/engine/descriptor/JupiterTestDescriptor.java:64-283; Part2/code/junit-jupiter-engine/src/main/java/org/junit/jupiter/engine/descriptor/JupiterTestDescriptor.java:163-167; Part2/code/junit-jupiter-engine/src/main/java/org/junit/jupiter/engine/descriptor/JupiterTestDescriptor.java:85-88; Part2/code/junit-jupiter-engine/src/main/java/org/junit/jupiter/engine/descriptor/JupiterTestDescriptor.java:256-263; Part2/code/junit-jupiter-engine/src/main/java/org/junit/jupiter/engine/descriptor/JupiterTestDescriptor.java:268-268; Part2/code/junit-jupiter-engine/src/main/java/org/junit/jupiter/engine/descriptor/ClassBasedTestDescriptor.java:167-169; Part2/code/junit-jupiter-engine/src/main/java/org/junit/jupiter/engine/descriptor/MethodBasedTestDescriptor.java:147-149; Part2/code/junit-jupiter-engine/src/main/java/org/junit/jupiter/engine/descriptor/ClassTestDescriptor.java:63-66</t>
        </is>
      </c>
      <c r="G110" s="8" t="inlineStr">
        <is>
          <t>JupiterTestDescriptor fixes algorithms in final methods (getExecutionMode, getLegacyReportingName) and in copyIncludingDescendants, which calls the abstract primitive withUniqueId; subclasses override the hooks (getExplicitExecutionMode, getLegacyReportingBaseName, withUniqueId).</t>
        </is>
      </c>
      <c r="H110" s="8" t="inlineStr">
        <is>
          <t>preserved</t>
        </is>
      </c>
      <c r="I110" s="8" t="inlineStr">
        <is>
          <t>Not affected by CH02; participants unchanged.</t>
        </is>
      </c>
    </row>
    <row r="111">
      <c r="A111" s="8" t="inlineStr">
        <is>
          <t>Code after Change2</t>
        </is>
      </c>
      <c r="B111" s="8" t="inlineStr">
        <is>
          <t>Template Method</t>
        </is>
      </c>
      <c r="C111" s="8" t="inlineStr">
        <is>
          <t>Behavioral</t>
        </is>
      </c>
      <c r="D111" s="8" t="inlineStr">
        <is>
          <t>A5 Child Ordering Skeleton</t>
        </is>
      </c>
      <c r="E111" s="8" t="inlineStr">
        <is>
          <t>AbstractClass=org.junit.jupiter.engine.discovery.AbstractOrderingVisitor; TemplateMethod=org.junit.jupiter.engine.discovery.AbstractOrderingVisitor#orderChildrenTestDescriptors; PrimitiveOperation=org.junit.jupiter.engine.discovery.AbstractOrderingVisitor#shouldNonMatchingDescriptorsComeBeforeOrderedOnes; ConcreteClass=org.junit.jupiter.engine.discovery.ClassOrderingVisitor; ConcreteClass=org.junit.jupiter.engine.discovery.MethodOrderingVisitor</t>
        </is>
      </c>
      <c r="F111" s="8" t="inlineStr">
        <is>
          <t>Part2/code/junit-jupiter-engine/src/main/java/org/junit/jupiter/engine/discovery/AbstractOrderingVisitor.java:39-222; Part2/code/junit-jupiter-engine/src/main/java/org/junit/jupiter/engine/discovery/AbstractOrderingVisitor.java:72-119; Part2/code/junit-jupiter-engine/src/main/java/org/junit/jupiter/engine/discovery/AbstractOrderingVisitor.java:126-126; Part2/code/junit-jupiter-engine/src/main/java/org/junit/jupiter/engine/discovery/ClassOrderingVisitor.java:38-165; Part2/code/junit-jupiter-engine/src/main/java/org/junit/jupiter/engine/discovery/MethodOrderingVisitor.java:41-174</t>
        </is>
      </c>
      <c r="G111" s="8" t="inlineStr">
        <is>
          <t>AbstractOrderingVisitor.orderChildrenTestDescriptors runs a fixed ordering algorithm (select, wrap, sort, unwrap, merge) and asks the abstract hook shouldNonMatchingDescriptorsComeBeforeOrderedOnes, which ClassOrderingVisitor and MethodOrderingVisitor answer differently.</t>
        </is>
      </c>
      <c r="H111" s="8" t="inlineStr">
        <is>
          <t>preserved</t>
        </is>
      </c>
      <c r="I111" s="8" t="inlineStr">
        <is>
          <t>Not affected by CH02; participants unchanged.</t>
        </is>
      </c>
    </row>
    <row r="112">
      <c r="A112" s="8" t="inlineStr">
        <is>
          <t>Code after Change2</t>
        </is>
      </c>
      <c r="B112" s="8" t="inlineStr">
        <is>
          <t>Observer</t>
        </is>
      </c>
      <c r="C112" s="8" t="inlineStr">
        <is>
          <t>Behavioral</t>
        </is>
      </c>
      <c r="D112" s="8" t="inlineStr">
        <is>
          <t>A6 Discovery Event Notification</t>
        </is>
      </c>
      <c r="E112" s="8" t="inlineStr">
        <is>
          <t>Observer=org.junit.platform.launcher.LauncherDiscoveryListener; Observer (base)=org.junit.platform.engine.EngineDiscoveryListener; ConcreteObserver=org.junit.platform.launcher.core.DiscoveryIssueCollector; ConcreteObserver=org.junit.platform.launcher.core.DiscoveryIssueReportingDiscoveryListener; Subject (attach)=org.junit.platform.launcher.core.DefaultLauncher#registerLauncherDiscoveryListeners; Subject (notify)=org.junit.platform.launcher.core.EngineDiscoveryOrchestrator#discoverEngineRoot; Subject (notify, in engine)=org.junit.platform.engine.support.discovery.EngineDiscoveryRequestResolution; Multicaster=org.junit.platform.launcher.listeners.discovery.CompositeLauncherDiscoveryListener</t>
        </is>
      </c>
      <c r="F112" s="8" t="inlineStr">
        <is>
          <t>Part2/code/junit-platform-launcher/src/main/java/org/junit/platform/launcher/LauncherDiscoveryListener.java:42-91; Part2/code/junit-platform-engine/src/main/java/org/junit/platform/engine/EngineDiscoveryListener.java:31-67; Part2/code/junit-platform-launcher/src/main/java/org/junit/platform/launcher/core/DiscoveryIssueCollector.java:25-65; Part2/code/junit-platform-launcher/src/main/java/org/junit/platform/launcher/core/DiscoveryIssueReportingDiscoveryListener.java:49-131; Part2/code/junit-platform-launcher/src/main/java/org/junit/platform/launcher/core/DefaultLauncher.java:73-77; Part2/code/junit-platform-launcher/src/main/java/org/junit/platform/launcher/core/EngineDiscoveryOrchestrator.java:193-218; Part2/code/junit-platform-engine/src/main/java/org/junit/platform/engine/support/discovery/EngineDiscoveryRequestResolution.java:60-263; Part2/code/junit-platform-launcher/src/main/java/org/junit/platform/launcher/listeners/discovery/CompositeLauncherDiscoveryListener.java:29-67</t>
        </is>
      </c>
      <c r="G112" s="8" t="inlineStr">
        <is>
          <t>Discovery progress (launcher/engine discovery started and finished, selector processed, issues) is pushed to registered LauncherDiscoveryListeners that the orchestrator only knows by interface.</t>
        </is>
      </c>
      <c r="H112" s="8" t="inlineStr">
        <is>
          <t>preserved</t>
        </is>
      </c>
      <c r="I112" s="8" t="inlineStr">
        <is>
          <t>Not affected by CH02; participants unchanged.</t>
        </is>
      </c>
    </row>
    <row r="113">
      <c r="A113" s="8" t="inlineStr">
        <is>
          <t>Code after Change2</t>
        </is>
      </c>
      <c r="B113" s="8" t="inlineStr">
        <is>
          <t>Adapter</t>
        </is>
      </c>
      <c r="C113" s="8" t="inlineStr">
        <is>
          <t>Structural</t>
        </is>
      </c>
      <c r="D113" s="8" t="inlineStr">
        <is>
          <t>A7 Orderer Descriptor Wrappers</t>
        </is>
      </c>
      <c r="E113" s="8" t="inlineStr">
        <is>
          <t>Target=org.junit.jupiter.api.ClassDescriptor; Target=org.junit.jupiter.api.MethodDescriptor; Adapter (base)=org.junit.jupiter.engine.discovery.AbstractAnnotatedDescriptorWrapper; Adapter=org.junit.jupiter.engine.discovery.DefaultClassDescriptor; Adapter=org.junit.jupiter.engine.discovery.DefaultMethodDescriptor; Adaptee=org.junit.jupiter.engine.descriptor.ClassBasedTestDescriptor; Adaptee=org.junit.jupiter.engine.descriptor.MethodBasedTestDescriptor; Client=org.junit.jupiter.engine.discovery.ClassOrderingVisitor</t>
        </is>
      </c>
      <c r="F113" s="8" t="inlineStr">
        <is>
          <t>Part2/code/junit-jupiter-api/src/main/java/org/junit/jupiter/api/ClassDescriptor.java:28-87; Part2/code/junit-jupiter-api/src/main/java/org/junit/jupiter/api/MethodDescriptor.java:29-90; Part2/code/junit-jupiter-engine/src/main/java/org/junit/jupiter/engine/discovery/AbstractAnnotatedDescriptorWrapper.java:28-65; Part2/code/junit-jupiter-engine/src/main/java/org/junit/jupiter/engine/discovery/DefaultClassDescriptor.java:23-39; Part2/code/junit-jupiter-engine/src/main/java/org/junit/jupiter/engine/discovery/DefaultMethodDescriptor.java:25-41; Part2/code/junit-jupiter-engine/src/main/java/org/junit/jupiter/engine/descriptor/ClassBasedTestDescriptor.java:89-601; Part2/code/junit-jupiter-engine/src/main/java/org/junit/jupiter/engine/descriptor/MethodBasedTestDescriptor.java:56-217; Part2/code/junit-jupiter-engine/src/main/java/org/junit/jupiter/engine/discovery/ClassOrderingVisitor.java:38-165</t>
        </is>
      </c>
      <c r="G113" s="8" t="inlineStr">
        <is>
          <t>User ClassOrderer/MethodOrderer code expects the public ClassDescriptor/MethodDescriptor API; the wrappers expose internal descriptors through it so internal classes never leak to user code.</t>
        </is>
      </c>
      <c r="H113" s="8" t="inlineStr">
        <is>
          <t>preserved</t>
        </is>
      </c>
      <c r="I113" s="8" t="inlineStr">
        <is>
          <t>Not affected by CH02; participants unchanged.</t>
        </is>
      </c>
    </row>
    <row r="114">
      <c r="A114" s="8" t="inlineStr">
        <is>
          <t>Code after Change2</t>
        </is>
      </c>
      <c r="B114" s="8" t="inlineStr">
        <is>
          <t>Template Method</t>
        </is>
      </c>
      <c r="C114" s="8" t="inlineStr">
        <is>
          <t>Behavioral</t>
        </is>
      </c>
      <c r="D114" s="8" t="inlineStr">
        <is>
          <t>B1 Hierarchical Engine Execution Skeleton</t>
        </is>
      </c>
      <c r="E114" s="8" t="inlineStr">
        <is>
          <t>AbstractClass=org.junit.platform.engine.support.hierarchical.HierarchicalTestEngine; TemplateMethod=org.junit.platform.engine.support.hierarchical.HierarchicalTestEngine#execute; PrimitiveOperation=org.junit.platform.engine.support.hierarchical.HierarchicalTestEngine#createExecutionContext; ConcreteClass=org.junit.jupiter.engine.JupiterTestEngine</t>
        </is>
      </c>
      <c r="F114" s="8" t="inlineStr">
        <is>
          <t>Part2/code/junit-platform-engine/src/main/java/org/junit/platform/engine/support/hierarchical/HierarchicalTestEngine.java:31-119; Part2/code/junit-platform-engine/src/main/java/org/junit/platform/engine/support/hierarchical/HierarchicalTestEngine.java:53-63; Part2/code/junit-platform-engine/src/main/java/org/junit/platform/engine/support/hierarchical/HierarchicalTestEngine.java:117-117; Part2/code/junit-jupiter-engine/src/main/java/org/junit/jupiter/engine/JupiterTestEngine.java:44-108</t>
        </is>
      </c>
      <c r="G114" s="8" t="inlineStr">
        <is>
          <t>final HierarchicalTestEngine.execute fixes the run order (executor service, context, collector factory, HierarchicalTestExecutor); JupiterTestEngine only supplies the steps. Overlaps B2.</t>
        </is>
      </c>
      <c r="H114" s="8" t="inlineStr">
        <is>
          <t>preserved</t>
        </is>
      </c>
      <c r="I114" s="8" t="inlineStr">
        <is>
          <t>Not affected by CH02; participants unchanged.</t>
        </is>
      </c>
    </row>
    <row r="115">
      <c r="A115" s="8" t="inlineStr">
        <is>
          <t>Code after Change2</t>
        </is>
      </c>
      <c r="B115" s="8" t="inlineStr">
        <is>
          <t>Factory Method</t>
        </is>
      </c>
      <c r="C115" s="8" t="inlineStr">
        <is>
          <t>Creational</t>
        </is>
      </c>
      <c r="D115" s="8" t="inlineStr">
        <is>
          <t>B2 Engine Collaborator Factory Methods</t>
        </is>
      </c>
      <c r="E115" s="8" t="inlineStr">
        <is>
          <t>Creator (factory method)=org.junit.platform.engine.support.hierarchical.HierarchicalTestEngine#createExecutorService; ConcreteCreator=org.junit.jupiter.engine.JupiterTestEngine#createExecutorService; ConcreteCreator=org.junit.jupiter.engine.JupiterTestEngine#createExecutionContext; ConcreteCreator=org.junit.jupiter.engine.JupiterTestEngine#createThrowableCollectorFactory; ConcreteProduct=org.junit.jupiter.engine.execution.JupiterEngineExecutionContext</t>
        </is>
      </c>
      <c r="F115" s="8" t="inlineStr">
        <is>
          <t>Part2/code/junit-platform-engine/src/main/java/org/junit/platform/engine/support/hierarchical/HierarchicalTestEngine.java:83-85; Part2/code/junit-jupiter-engine/src/main/java/org/junit/jupiter/engine/JupiterTestEngine.java:80-87; Part2/code/junit-jupiter-engine/src/main/java/org/junit/jupiter/engine/JupiterTestEngine.java:90-93; Part2/code/junit-jupiter-engine/src/main/java/org/junit/jupiter/engine/JupiterTestEngine.java:99-101; Part2/code/junit-jupiter-engine/src/main/java/org/junit/jupiter/engine/execution/JupiterEngineExecutionContext.java:30-209</t>
        </is>
      </c>
      <c r="G115" s="8" t="inlineStr">
        <is>
          <t>The template in B1 asks overridable create* methods which objects to use; JupiterTestEngine overrides them to choose a parallel/same-thread executor, its JupiterEngineExecutionContext and its throwable-collector factory. Overlaps B1.</t>
        </is>
      </c>
      <c r="H115" s="8" t="inlineStr">
        <is>
          <t>preserved</t>
        </is>
      </c>
      <c r="I115" s="8" t="inlineStr">
        <is>
          <t>Not affected by CH02; participants unchanged.</t>
        </is>
      </c>
    </row>
    <row r="116">
      <c r="A116" s="8" t="inlineStr">
        <is>
          <t>Code after Change2</t>
        </is>
      </c>
      <c r="B116" s="8" t="inlineStr">
        <is>
          <t>Strategy</t>
        </is>
      </c>
      <c r="C116" s="8" t="inlineStr">
        <is>
          <t>Behavioral</t>
        </is>
      </c>
      <c r="D116" s="8" t="inlineStr">
        <is>
          <t>B3 Test Executor Services</t>
        </is>
      </c>
      <c r="E116" s="8" t="inlineStr">
        <is>
          <t>Strategy=org.junit.platform.engine.support.hierarchical.HierarchicalTestExecutorService; ConcreteStrategy=org.junit.platform.engine.support.hierarchical.SameThreadHierarchicalTestExecutorService; ConcreteStrategy=org.junit.platform.engine.support.hierarchical.ForkJoinPoolHierarchicalTestExecutorService; ConcreteStrategy=org.junit.platform.engine.support.hierarchical.WorkerThreadPoolHierarchicalTestExecutorService; Context=org.junit.platform.engine.support.hierarchical.HierarchicalTestExecutor; Context=org.junit.platform.engine.support.hierarchical.NodeTestTask#executeRecursively</t>
        </is>
      </c>
      <c r="F116" s="8" t="inlineStr">
        <is>
          <t>Part2/code/junit-platform-engine/src/main/java/org/junit/platform/engine/support/hierarchical/HierarchicalTestExecutorService.java:34-118; Part2/code/junit-platform-engine/src/main/java/org/junit/platform/engine/support/hierarchical/SameThreadHierarchicalTestExecutorService.java:29-50; Part2/code/junit-platform-engine/src/main/java/org/junit/platform/engine/support/hierarchical/ForkJoinPoolHierarchicalTestExecutorService.java:51-331; Part2/code/junit-platform-engine/src/main/java/org/junit/platform/engine/support/hierarchical/WorkerThreadPoolHierarchicalTestExecutorService.java:70-901; Part2/code/junit-platform-engine/src/main/java/org/junit/platform/engine/support/hierarchical/HierarchicalTestExecutor.java:36-71; Part2/code/junit-platform-engine/src/main/java/org/junit/platform/engine/support/hierarchical/NodeTestTask.java:157-189</t>
        </is>
      </c>
      <c r="G116" s="8" t="inlineStr">
        <is>
          <t>Sequential vs parallel scheduling is swappable behind HierarchicalTestExecutorService; NodeTestTask and HierarchicalTestExecutor only call submit/invokeAll.</t>
        </is>
      </c>
      <c r="H116" s="8" t="inlineStr">
        <is>
          <t>preserved</t>
        </is>
      </c>
      <c r="I116" s="8" t="inlineStr">
        <is>
          <t>Not affected by CH02; participants unchanged.</t>
        </is>
      </c>
    </row>
    <row r="117">
      <c r="A117" s="8" t="inlineStr">
        <is>
          <t>Code after Change2</t>
        </is>
      </c>
      <c r="B117" s="8" t="inlineStr">
        <is>
          <t>Strategy</t>
        </is>
      </c>
      <c r="C117" s="8" t="inlineStr">
        <is>
          <t>Behavioral</t>
        </is>
      </c>
      <c r="D117" s="8" t="inlineStr">
        <is>
          <t>B4 Parallelism Configuration Strategy</t>
        </is>
      </c>
      <c r="E117" s="8" t="inlineStr">
        <is>
          <t>Strategy=org.junit.platform.engine.support.hierarchical.ParallelExecutionConfigurationStrategy; ConcreteStrategy (enum FIXED/DYNAMIC/CUSTOM)=org.junit.platform.engine.support.hierarchical.DefaultParallelExecutionConfigurationStrategy; Selection=org.junit.platform.engine.support.hierarchical.DefaultParallelExecutionConfigurationStrategy#getStrategy; Context=org.junit.platform.engine.support.hierarchical.ParallelHierarchicalTestExecutorServiceFactory</t>
        </is>
      </c>
      <c r="F117" s="8" t="inlineStr">
        <is>
          <t>Part2/code/junit-platform-engine/src/main/java/org/junit/platform/engine/support/hierarchical/ParallelExecutionConfigurationStrategy.java:25-33; Part2/code/junit-platform-engine/src/main/java/org/junit/platform/engine/support/hierarchical/DefaultParallelExecutionConfigurationStrategy.java:33-228; Part2/code/junit-platform-engine/src/main/java/org/junit/platform/engine/support/hierarchical/DefaultParallelExecutionConfigurationStrategy.java:223-226; Part2/code/junit-platform-engine/src/main/java/org/junit/platform/engine/support/hierarchical/ParallelHierarchicalTestExecutorServiceFactory.java:33-123</t>
        </is>
      </c>
      <c r="G117" s="8" t="inlineStr">
        <is>
          <t>How parallelism is computed (FIXED, DYNAMIC from CPU count, CUSTOM user class) is chosen by configuration; each enum constant implements createConfiguration.</t>
        </is>
      </c>
      <c r="H117" s="8" t="inlineStr">
        <is>
          <t>preserved</t>
        </is>
      </c>
      <c r="I117" s="8" t="inlineStr">
        <is>
          <t>Not affected by CH02; participants unchanged.</t>
        </is>
      </c>
    </row>
    <row r="118">
      <c r="A118" s="8" t="inlineStr">
        <is>
          <t>Code after Change2</t>
        </is>
      </c>
      <c r="B118" s="8" t="inlineStr">
        <is>
          <t>Decorator</t>
        </is>
      </c>
      <c r="C118" s="8" t="inlineStr">
        <is>
          <t>Structural</t>
        </is>
      </c>
      <c r="D118" s="8" t="inlineStr">
        <is>
          <t>B5 Intercepting Launcher Wrappers</t>
        </is>
      </c>
      <c r="E118" s="8" t="inlineStr">
        <is>
          <t>Component=org.junit.platform.launcher.Launcher; ConcreteComponent=org.junit.platform.launcher.core.DefaultLauncher; Decorator=org.junit.platform.launcher.core.DelegatingLauncher; ConcreteDecorator=org.junit.platform.launcher.core.InterceptingLauncher; Assembler=org.junit.platform.launcher.core.DefaultLauncherSession</t>
        </is>
      </c>
      <c r="F118" s="8" t="inlineStr">
        <is>
          <t>Part2/code/junit-platform-launcher/src/main/java/org/junit/platform/launcher/Launcher.java:53-164; Part2/code/junit-platform-launcher/src/main/java/org/junit/platform/launcher/core/DefaultLauncher.java:43-145; Part2/code/junit-platform-launcher/src/main/java/org/junit/platform/launcher/core/DelegatingLauncher.java:24-73; Part2/code/junit-platform-launcher/src/main/java/org/junit/platform/launcher/core/InterceptingLauncher.java:25-70; Part2/code/junit-platform-launcher/src/main/java/org/junit/platform/launcher/core/DefaultLauncherSession.java:35-159</t>
        </is>
      </c>
      <c r="G118" s="8" t="inlineStr">
        <is>
          <t>The session's launcher is DelegatingLauncher &gt; InterceptingLauncher &gt; DefaultLauncher; each wrapper implements Launcher and forwards, InterceptingLauncher adds LauncherInterceptor around every call.</t>
        </is>
      </c>
      <c r="H118" s="8" t="inlineStr">
        <is>
          <t>preserved</t>
        </is>
      </c>
      <c r="I118" s="8" t="inlineStr">
        <is>
          <t>Not affected by CH02; participants unchanged.</t>
        </is>
      </c>
    </row>
    <row r="119">
      <c r="A119" s="8" t="inlineStr">
        <is>
          <t>Code after Change2</t>
        </is>
      </c>
      <c r="B119" s="8" t="inlineStr">
        <is>
          <t>Decorator</t>
        </is>
      </c>
      <c r="C119" s="8" t="inlineStr">
        <is>
          <t>Structural</t>
        </is>
      </c>
      <c r="D119" s="8" t="inlineStr">
        <is>
          <t>B6 Engine Listener Wrappers</t>
        </is>
      </c>
      <c r="E119" s="8" t="inlineStr">
        <is>
          <t>Component=org.junit.platform.engine.EngineExecutionListener; Decorator=org.junit.platform.launcher.core.DelegatingEngineExecutionListener; ConcreteDecorator=org.junit.platform.launcher.core.StackTracePruningEngineExecutionListener; ConcreteDecorator=org.junit.platform.launcher.core.OutcomeDelayingEngineExecutionListener; ConcreteDecorator=org.junit.platform.launcher.core.MemoryCleanupListener; Assembler=org.junit.platform.launcher.core.EngineExecutionOrchestrator#executeEngine</t>
        </is>
      </c>
      <c r="F119" s="8" t="inlineStr">
        <is>
          <t>Part2/code/junit-platform-engine/src/main/java/org/junit/platform/engine/EngineExecutionListener.java:34-164; Part2/code/junit-platform-launcher/src/main/java/org/junit/platform/launcher/core/DelegatingEngineExecutionListener.java:22-59; Part2/code/junit-platform-launcher/src/main/java/org/junit/platform/launcher/core/StackTracePruningEngineExecutionListener.java:31-70; Part2/code/junit-platform-launcher/src/main/java/org/junit/platform/launcher/core/OutcomeDelayingEngineExecutionListener.java:28-101; Part2/code/junit-platform-launcher/src/main/java/org/junit/platform/launcher/core/MemoryCleanupListener.java:30-93; Part2/code/junit-platform-launcher/src/main/java/org/junit/platform/launcher/core/EngineExecutionOrchestrator.java:248-275</t>
        </is>
      </c>
      <c r="G119" s="8" t="inlineStr">
        <is>
          <t>EngineExecutionOrchestrator stacks independent wrappers (stack-trace pruning, outcome delaying, memory cleanup) on the engine listener; each forwards and adds one behaviour. Also part of Area C.</t>
        </is>
      </c>
      <c r="H119" s="8" t="inlineStr">
        <is>
          <t>preserved</t>
        </is>
      </c>
      <c r="I119" s="8" t="inlineStr">
        <is>
          <t>Not affected by CH02; participants unchanged.</t>
        </is>
      </c>
    </row>
    <row r="120">
      <c r="A120" s="8" t="inlineStr">
        <is>
          <t>Code after Change2</t>
        </is>
      </c>
      <c r="B120" s="8" t="inlineStr">
        <is>
          <t>Adapter</t>
        </is>
      </c>
      <c r="C120" s="8" t="inlineStr">
        <is>
          <t>Structural</t>
        </is>
      </c>
      <c r="D120" s="8" t="inlineStr">
        <is>
          <t>B7 Engine-to-Launcher Listener Adapter</t>
        </is>
      </c>
      <c r="E120" s="8" t="inlineStr">
        <is>
          <t>Target=org.junit.platform.engine.EngineExecutionListener; Adapter=org.junit.platform.launcher.core.ExecutionListenerAdapter; Adaptee=org.junit.platform.launcher.TestExecutionListener; Client (wiring)=org.junit.platform.launcher.core.EngineExecutionOrchestrator#buildEngineExecutionListener</t>
        </is>
      </c>
      <c r="F120" s="8" t="inlineStr">
        <is>
          <t>Part2/code/junit-platform-engine/src/main/java/org/junit/platform/engine/EngineExecutionListener.java:34-164; Part2/code/junit-platform-launcher/src/main/java/org/junit/platform/launcher/core/ExecutionListenerAdapter.java:28-74; Part2/code/junit-platform-launcher/src/main/java/org/junit/platform/launcher/TestExecutionListener.java:76-203; Part2/code/junit-platform-launcher/src/main/java/org/junit/platform/launcher/core/EngineExecutionOrchestrator.java:141-152</t>
        </is>
      </c>
      <c r="G120" s="8" t="inlineStr">
        <is>
          <t>Engines report with mutable TestDescriptors; ExecutionListenerAdapter implements EngineExecutionListener and forwards to a TestExecutionListener with immutable TestIdentifiers looked up in the TestPlan. Also part of Area C.</t>
        </is>
      </c>
      <c r="H120" s="8" t="inlineStr">
        <is>
          <t>preserved</t>
        </is>
      </c>
      <c r="I120" s="8" t="inlineStr">
        <is>
          <t>Not affected by CH02; participants unchanged.</t>
        </is>
      </c>
    </row>
    <row r="121">
      <c r="A121" s="8" t="inlineStr">
        <is>
          <t>Code after Change2</t>
        </is>
      </c>
      <c r="B121" s="8" t="inlineStr">
        <is>
          <t>Observer</t>
        </is>
      </c>
      <c r="C121" s="8" t="inlineStr">
        <is>
          <t>Behavioral</t>
        </is>
      </c>
      <c r="D121" s="8" t="inlineStr">
        <is>
          <t>B8 Execution Event Notification</t>
        </is>
      </c>
      <c r="E121" s="8" t="inlineStr">
        <is>
          <t>Observer=org.junit.platform.engine.EngineExecutionListener; ConcreteObserver=org.junit.platform.launcher.core.OutcomeDelayingEngineExecutionListener; ConcreteObserver=org.junit.platform.launcher.core.ExecutionListenerAdapter; Subject (notify)=org.junit.platform.engine.support.hierarchical.NodeTestTask#executeRecursively; Subject (notify)=org.junit.platform.engine.support.hierarchical.NodeTestTask#reportCompletion</t>
        </is>
      </c>
      <c r="F121" s="8" t="inlineStr">
        <is>
          <t>Part2/code/junit-platform-engine/src/main/java/org/junit/platform/engine/EngineExecutionListener.java:34-164; Part2/code/junit-platform-launcher/src/main/java/org/junit/platform/launcher/core/OutcomeDelayingEngineExecutionListener.java:28-101; Part2/code/junit-platform-launcher/src/main/java/org/junit/platform/launcher/core/ExecutionListenerAdapter.java:28-74; Part2/code/junit-platform-engine/src/main/java/org/junit/platform/engine/support/hierarchical/NodeTestTask.java:157-189; Part2/code/junit-platform-engine/src/main/java/org/junit/platform/engine/support/hierarchical/NodeTestTask.java:195-226</t>
        </is>
      </c>
      <c r="G121" s="8" t="inlineStr">
        <is>
          <t>During execution NodeTestTask pushes executionStarted/Skipped/Finished to the EngineExecutionListener from the ExecutionRequest, without knowing who listens. Also part of Area C.</t>
        </is>
      </c>
      <c r="H121" s="8" t="inlineStr">
        <is>
          <t>preserved</t>
        </is>
      </c>
      <c r="I121" s="8" t="inlineStr">
        <is>
          <t>Not affected by CH02; participants unchanged.</t>
        </is>
      </c>
    </row>
    <row r="122">
      <c r="A122" s="8" t="inlineStr">
        <is>
          <t>Code after Change2</t>
        </is>
      </c>
      <c r="B122" s="8" t="inlineStr">
        <is>
          <t>Command</t>
        </is>
      </c>
      <c r="C122" s="8" t="inlineStr">
        <is>
          <t>Behavioral</t>
        </is>
      </c>
      <c r="D122" s="8" t="inlineStr">
        <is>
          <t>B9 Node Execution Tasks</t>
        </is>
      </c>
      <c r="E122" s="8" t="inlineStr">
        <is>
          <t>Command=org.junit.platform.engine.support.hierarchical.HierarchicalTestExecutorService.TestTask; ConcreteCommand=org.junit.platform.engine.support.hierarchical.NodeTestTask; Invoker=org.junit.platform.engine.support.hierarchical.SameThreadHierarchicalTestExecutorService; Invoker=org.junit.platform.engine.support.hierarchical.ForkJoinPoolHierarchicalTestExecutorService</t>
        </is>
      </c>
      <c r="F122" s="8" t="inlineStr">
        <is>
          <t>Part2/code/junit-platform-engine/src/main/java/org/junit/platform/engine/support/hierarchical/HierarchicalTestExecutorService.java:88-116; Part2/code/junit-platform-engine/src/main/java/org/junit/platform/engine/support/hierarchical/NodeTestTask.java:46-307; Part2/code/junit-platform-engine/src/main/java/org/junit/platform/engine/support/hierarchical/SameThreadHierarchicalTestExecutorService.java:29-50; Part2/code/junit-platform-engine/src/main/java/org/junit/platform/engine/support/hierarchical/ForkJoinPoolHierarchicalTestExecutorService.java:51-331</t>
        </is>
      </c>
      <c r="G122" s="8" t="inlineStr">
        <is>
          <t>Each node's work is packaged as a TestTask object (execute + execution mode + lock) and handed to an executor service that decides when and on which thread to run it.</t>
        </is>
      </c>
      <c r="H122" s="8" t="inlineStr">
        <is>
          <t>preserved</t>
        </is>
      </c>
      <c r="I122" s="8" t="inlineStr">
        <is>
          <t>Not affected by CH02; participants unchanged.</t>
        </is>
      </c>
    </row>
    <row r="123">
      <c r="A123" s="8" t="inlineStr">
        <is>
          <t>Code after Change2</t>
        </is>
      </c>
      <c r="B123" s="8" t="inlineStr">
        <is>
          <t>Null Object</t>
        </is>
      </c>
      <c r="C123" s="8" t="inlineStr">
        <is>
          <t>Behavioral</t>
        </is>
      </c>
      <c r="D123" s="8" t="inlineStr">
        <is>
          <t>B10 No-op Node</t>
        </is>
      </c>
      <c r="E123" s="8" t="inlineStr">
        <is>
          <t>AbstractObject=org.junit.platform.engine.support.hierarchical.Node; NullObject provider=org.junit.platform.engine.support.hierarchical.NodeUtils#asNode; Client=org.junit.platform.engine.support.hierarchical.NodeTestTask</t>
        </is>
      </c>
      <c r="F123" s="8" t="inlineStr">
        <is>
          <t>Part2/code/junit-platform-engine/src/main/java/org/junit/platform/engine/support/hierarchical/Node.java:38-381; Part2/code/junit-platform-engine/src/main/java/org/junit/platform/engine/support/hierarchical/NodeUtils.java:25-27; Part2/code/junit-platform-engine/src/main/java/org/junit/platform/engine/support/hierarchical/NodeTestTask.java:46-307</t>
        </is>
      </c>
      <c r="G123" s="8" t="inlineStr">
        <is>
          <t>A TestDescriptor that is not a Node gets a do-nothing Node from NodeUtils.asNode, so NodeTestTask never needs null checks.</t>
        </is>
      </c>
      <c r="H123" s="8" t="inlineStr">
        <is>
          <t>preserved</t>
        </is>
      </c>
      <c r="I123" s="8" t="inlineStr">
        <is>
          <t>Not affected by CH02; participants unchanged.</t>
        </is>
      </c>
    </row>
    <row r="124">
      <c r="A124" s="8" t="inlineStr">
        <is>
          <t>Code after Change2</t>
        </is>
      </c>
      <c r="B124" s="8" t="inlineStr">
        <is>
          <t>Observer</t>
        </is>
      </c>
      <c r="C124" s="8" t="inlineStr">
        <is>
          <t>Behavioral</t>
        </is>
      </c>
      <c r="D124" s="8" t="inlineStr">
        <is>
          <t>C1 Test Execution Listeners</t>
        </is>
      </c>
      <c r="E124" s="8" t="inlineStr">
        <is>
          <t>Observer=org.junit.platform.launcher.TestExecutionListener; ConcreteObserver=org.junit.platform.launcher.listeners.SummaryGeneratingListener; ConcreteObserver=org.junit.platform.launcher.listeners.LoggingListener; ConcreteObserver=org.junit.platform.launcher.listeners.UniqueIdTrackingListener; ConcreteObserver=org.junit.platform.launcher.jfr.FlightRecordingExecutionListener; ConcreteObserver=org.junit.platform.launcher.core.StreamInterceptingTestExecutionListener; Subject (attach)=org.junit.platform.launcher.core.DefaultLauncher#registerTestExecutionListeners; Subject (notify)=org.junit.platform.launcher.core.CompositeTestExecutionListener#notifyEach; ConcreteObserver=org.junit.platform.launcher.listeners.ClassSummaryListener</t>
        </is>
      </c>
      <c r="F124" s="8" t="inlineStr">
        <is>
          <t>Part2/code/junit-platform-launcher/src/main/java/org/junit/platform/launcher/TestExecutionListener.java:76-203; Part2/code/junit-platform-launcher/src/main/java/org/junit/platform/launcher/listeners/SummaryGeneratingListener.java:37-125; Part2/code/junit-platform-launcher/src/main/java/org/junit/platform/launcher/listeners/LoggingListener.java:39-132; Part2/code/junit-platform-launcher/src/main/java/org/junit/platform/launcher/listeners/UniqueIdTrackingListener.java:94-217; Part2/code/junit-platform-launcher/src/main/java/org/junit/platform/launcher/jfr/FlightRecordingExecutionListener.java:43-225; Part2/code/junit-platform-launcher/src/main/java/org/junit/platform/launcher/core/StreamInterceptingTestExecutionListener.java:35-99; Part2/code/junit-platform-launcher/src/main/java/org/junit/platform/launcher/core/DefaultLauncher.java:80-84; Part2/code/junit-platform-launcher/src/main/java/org/junit/platform/launcher/core/CompositeTestExecutionListener.java:104-116; Part2/code/junit-platform-launcher/src/main/java/org/junit/platform/launcher/listeners/ClassSummaryListener.java:59-269</t>
        </is>
      </c>
      <c r="G124" s="8" t="inlineStr">
        <is>
          <t>Client-side observers (IDE, summary, logging, unique-id file, JFR, stdout capture) register three ways and are notified of the same run events; notifyEach isolates each listener's failure. Different from B8 (engine side).</t>
        </is>
      </c>
      <c r="H124" s="8" t="inlineStr">
        <is>
          <t>preserved</t>
        </is>
      </c>
      <c r="I124" s="8" t="inlineStr">
        <is>
          <t>Not affected by CH02; participants unchanged.</t>
        </is>
      </c>
    </row>
    <row r="125">
      <c r="A125" s="8" t="inlineStr">
        <is>
          <t>Code after Change2</t>
        </is>
      </c>
      <c r="B125" s="8" t="inlineStr">
        <is>
          <t>Observer</t>
        </is>
      </c>
      <c r="C125" s="8" t="inlineStr">
        <is>
          <t>Behavioral</t>
        </is>
      </c>
      <c r="D125" s="8" t="inlineStr">
        <is>
          <t>C2 Launcher Session Notification</t>
        </is>
      </c>
      <c r="E125" s="8" t="inlineStr">
        <is>
          <t>Observer=org.junit.platform.launcher.LauncherSessionListener; Subject=org.junit.platform.launcher.core.DefaultLauncherSession; Multicaster=org.junit.platform.launcher.listeners.session.CompositeLauncherSessionListener</t>
        </is>
      </c>
      <c r="F125" s="8" t="inlineStr">
        <is>
          <t>Part2/code/junit-platform-launcher/src/main/java/org/junit/platform/launcher/LauncherSessionListener.java:43-67; Part2/code/junit-platform-launcher/src/main/java/org/junit/platform/launcher/core/DefaultLauncherSession.java:35-159; Part2/code/junit-platform-launcher/src/main/java/org/junit/platform/launcher/listeners/session/CompositeLauncherSessionListener.java:24-41</t>
        </is>
      </c>
      <c r="G125" s="8" t="inlineStr">
        <is>
          <t>LauncherSessionListeners are told when a launcher session opens and closes by DefaultLauncherSession.</t>
        </is>
      </c>
      <c r="H125" s="8" t="inlineStr">
        <is>
          <t>preserved</t>
        </is>
      </c>
      <c r="I125" s="8" t="inlineStr">
        <is>
          <t>Not affected by CH02; participants unchanged.</t>
        </is>
      </c>
    </row>
    <row r="126">
      <c r="A126" s="8" t="inlineStr">
        <is>
          <t>Code after Change2</t>
        </is>
      </c>
      <c r="B126" s="8" t="inlineStr">
        <is>
          <t>Strategy</t>
        </is>
      </c>
      <c r="C126" s="8" t="inlineStr">
        <is>
          <t>Behavioral</t>
        </is>
      </c>
      <c r="D126" s="8" t="inlineStr">
        <is>
          <t>C3 Listener Notification Order</t>
        </is>
      </c>
      <c r="E126" s="8" t="inlineStr">
        <is>
          <t>Strategy + ConcreteStrategies (ORIGINAL, REVERSED)=org.junit.platform.launcher.core.IterationOrder; Context=org.junit.platform.launcher.core.CompositeTestExecutionListener#notifyEach; Context=org.junit.platform.launcher.core.CompositeEngineExecutionListener#notifyEach</t>
        </is>
      </c>
      <c r="F126" s="8" t="inlineStr">
        <is>
          <t>Part2/code/junit-platform-launcher/src/main/java/org/junit/platform/launcher/core/IterationOrder.java:18-35; Part2/code/junit-platform-launcher/src/main/java/org/junit/platform/launcher/core/CompositeTestExecutionListener.java:104-116; Part2/code/junit-platform-launcher/src/main/java/org/junit/platform/launcher/core/CompositeEngineExecutionListener.java:78-90</t>
        </is>
      </c>
      <c r="G126" s="8" t="inlineStr">
        <is>
          <t>The order in which listeners are notified is an interchangeable algorithm: IterationOrder.ORIGINAL for started events, REVERSED for finished events, used by notifyEach.</t>
        </is>
      </c>
      <c r="H126" s="8" t="inlineStr">
        <is>
          <t>preserved</t>
        </is>
      </c>
      <c r="I126" s="8" t="inlineStr">
        <is>
          <t>Not affected by CH02; participants unchanged.</t>
        </is>
      </c>
    </row>
    <row r="127">
      <c r="A127" s="8" t="inlineStr">
        <is>
          <t>Code after Change2</t>
        </is>
      </c>
      <c r="B127" s="8" t="inlineStr">
        <is>
          <t>Strategy</t>
        </is>
      </c>
      <c r="C127" s="8" t="inlineStr">
        <is>
          <t>Behavioral</t>
        </is>
      </c>
      <c r="D127" s="8" t="inlineStr">
        <is>
          <t>C4 Pluggable Log Sink</t>
        </is>
      </c>
      <c r="E127" s="8" t="inlineStr">
        <is>
          <t>Strategy=java.util.function.BiConsumer; ConcreteStrategy factory=org.junit.platform.launcher.listeners.LoggingListener#forJavaUtilLogging; ConcreteStrategy factory=org.junit.platform.launcher.listeners.LoggingListener#forBiConsumer; Context=org.junit.platform.launcher.listeners.LoggingListener</t>
        </is>
      </c>
      <c r="F127" s="8" t="inlineStr">
        <is>
          <t>java.util.function.BiConsumer (JDK); Part2/code/junit-platform-launcher/src/main/java/org/junit/platform/launcher/listeners/LoggingListener.java:49-51; Part2/code/junit-platform-launcher/src/main/java/org/junit/platform/launcher/listeners/LoggingListener.java:82-84; Part2/code/junit-platform-launcher/src/main/java/org/junit/platform/launcher/listeners/LoggingListener.java:39-132</t>
        </is>
      </c>
      <c r="G127" s="8" t="inlineStr">
        <is>
          <t>LoggingListener's behaviour is fixed but where log lines go is an injected BiConsumer (java.util.logging via forJavaUtilLogging, or any sink via forBiConsumer).</t>
        </is>
      </c>
      <c r="H127" s="8" t="inlineStr">
        <is>
          <t>preserved</t>
        </is>
      </c>
      <c r="I127" s="8" t="inlineStr">
        <is>
          <t>Not affected by CH02; participants unchanged.</t>
        </is>
      </c>
    </row>
    <row r="128">
      <c r="A128" s="8" t="inlineStr">
        <is>
          <t>Code after Change2</t>
        </is>
      </c>
      <c r="B128" s="8" t="inlineStr">
        <is>
          <t>Adapter</t>
        </is>
      </c>
      <c r="C128" s="8" t="inlineStr">
        <is>
          <t>Structural</t>
        </is>
      </c>
      <c r="D128" s="8" t="inlineStr">
        <is>
          <t>C5 Test Reporter Adapter</t>
        </is>
      </c>
      <c r="E128" s="8" t="inlineStr">
        <is>
          <t>Target=org.junit.jupiter.api.TestReporter; Adapter=org.junit.jupiter.engine.extension.DefaultTestReporter; Adaptee=org.junit.jupiter.engine.descriptor.AbstractExtensionContext#publishReportEntry</t>
        </is>
      </c>
      <c r="F128" s="8" t="inlineStr">
        <is>
          <t>Part2/code/junit-jupiter-api/src/main/java/org/junit/jupiter/api/TestReporter.java:47-231; Part2/code/junit-jupiter-engine/src/main/java/org/junit/jupiter/engine/extension/DefaultTestReporter.java:24-47; Part2/code/junit-jupiter-engine/src/main/java/org/junit/jupiter/engine/descriptor/AbstractExtensionContext.java:141-143</t>
        </is>
      </c>
      <c r="G128" s="8" t="inlineStr">
        <is>
          <t>Tests call the simple TestReporter API; DefaultTestReporter implements it by calling ExtensionContext.publishReportEntry, which turns the map into a ReportEntry event.</t>
        </is>
      </c>
      <c r="H128" s="8" t="inlineStr">
        <is>
          <t>preserved</t>
        </is>
      </c>
      <c r="I128" s="8" t="inlineStr">
        <is>
          <t>Not affected by CH02; participants unchanged.</t>
        </is>
      </c>
    </row>
    <row r="129">
      <c r="A129" s="8" t="inlineStr">
        <is>
          <t>Code after Change2</t>
        </is>
      </c>
      <c r="B129" s="8" t="inlineStr">
        <is>
          <t>Decorator</t>
        </is>
      </c>
      <c r="C129" s="8" t="inlineStr">
        <is>
          <t>Structural</t>
        </is>
      </c>
      <c r="D129" s="8" t="inlineStr">
        <is>
          <t>C6 Captured Output Stream</t>
        </is>
      </c>
      <c r="E129" s="8" t="inlineStr">
        <is>
          <t>Component=java.io.PrintStream; ConcreteDecorator=org.junit.platform.launcher.core.StreamInterceptor; Installer / client=org.junit.platform.launcher.core.StreamInterceptingTestExecutionListener</t>
        </is>
      </c>
      <c r="F129" s="8" t="inlineStr">
        <is>
          <t>java.io.PrintStream (JDK); Part2/code/junit-platform-launcher/src/main/java/org/junit/platform/launcher/core/StreamInterceptor.java:27-145; Part2/code/junit-platform-launcher/src/main/java/org/junit/platform/launcher/core/StreamInterceptingTestExecutionListener.java:35-99</t>
        </is>
      </c>
      <c r="G129" s="8" t="inlineStr">
        <is>
          <t>StreamInterceptor extends PrintStream, wraps System.out/err, copies every write into a per-thread buffer and still forwards to the original stream (super.write).</t>
        </is>
      </c>
      <c r="H129" s="8" t="inlineStr">
        <is>
          <t>preserved</t>
        </is>
      </c>
      <c r="I129" s="8" t="inlineStr">
        <is>
          <t>Not affected by CH02; participants unchanged.</t>
        </is>
      </c>
    </row>
    <row r="130">
      <c r="A130" s="8" t="inlineStr">
        <is>
          <t>Code after Change2</t>
        </is>
      </c>
      <c r="B130" s="8" t="inlineStr">
        <is>
          <t>Null Object</t>
        </is>
      </c>
      <c r="C130" s="8" t="inlineStr">
        <is>
          <t>Behavioral</t>
        </is>
      </c>
      <c r="D130" s="8" t="inlineStr">
        <is>
          <t>C7 No-op Listeners</t>
        </is>
      </c>
      <c r="E130" s="8" t="inlineStr">
        <is>
          <t>NullObject holder=org.junit.platform.engine.EngineExecutionListener; NullObject holder=org.junit.platform.launcher.LauncherSessionListener; Client=org.junit.platform.launcher.listeners.session.LauncherSessionListeners</t>
        </is>
      </c>
      <c r="F130" s="8" t="inlineStr">
        <is>
          <t>Part2/code/junit-platform-engine/src/main/java/org/junit/platform/engine/EngineExecutionListener.java:34-164; Part2/code/junit-platform-launcher/src/main/java/org/junit/platform/launcher/LauncherSessionListener.java:43-67; Part2/code/junit-platform-launcher/src/main/java/org/junit/platform/launcher/listeners/session/LauncherSessionListeners.java:28-45</t>
        </is>
      </c>
      <c r="G130" s="8" t="inlineStr">
        <is>
          <t>EngineExecutionListener.NOOP and LauncherSessionListener.NOOP stand in for 'no listener' so callers never check for null; LauncherSessionListeners returns NOOP for an empty list.</t>
        </is>
      </c>
      <c r="H130" s="8" t="inlineStr">
        <is>
          <t>preserved</t>
        </is>
      </c>
      <c r="I130" s="8" t="inlineStr">
        <is>
          <t>Not affected by CH02; participants unchanged.</t>
        </is>
      </c>
    </row>
    <row r="131">
      <c r="A131" s="8" t="inlineStr">
        <is>
          <t>Code after Change2</t>
        </is>
      </c>
      <c r="B131" s="8" t="inlineStr">
        <is>
          <t>Strategy</t>
        </is>
      </c>
      <c r="C131" s="8" t="inlineStr">
        <is>
          <t>Behavioral</t>
        </is>
      </c>
      <c r="D131" s="8" t="inlineStr">
        <is>
          <t>D1 Temp Directory Creation</t>
        </is>
      </c>
      <c r="E131" s="8" t="inlineStr">
        <is>
          <t>Strategy=org.junit.jupiter.api.io.TempDirFactory; ConcreteStrategy=org.junit.jupiter.api.io.TempDirFactory.Standard; Selection=org.junit.jupiter.engine.extension.TempDirectory#determineTempDirFactory; Context=org.junit.jupiter.engine.extension.TempDirectory</t>
        </is>
      </c>
      <c r="F131" s="8" t="inlineStr">
        <is>
          <t>Part2/code/junit-jupiter-api/src/main/java/org/junit/jupiter/api/io/TempDirFactory.java:49-100; Part2/code/junit-jupiter-api/src/main/java/org/junit/jupiter/api/io/TempDirFactory.java:83-98; Part2/code/junit-jupiter-engine/src/main/java/org/junit/jupiter/engine/extension/TempDirectory.java:194-200; Part2/code/junit-jupiter-engine/src/main/java/org/junit/jupiter/engine/extension/TempDirectory.java:72-359</t>
        </is>
      </c>
      <c r="G131" s="8" t="inlineStr">
        <is>
          <t>How a @TempDir directory is created is a TempDirFactory chosen from @TempDir(factory) or the configuration; TempDirFactory.Standard is the default.</t>
        </is>
      </c>
      <c r="H131" s="8" t="inlineStr">
        <is>
          <t>preserved</t>
        </is>
      </c>
      <c r="I131" s="8" t="inlineStr">
        <is>
          <t>Not affected by CH02; participants unchanged.</t>
        </is>
      </c>
    </row>
    <row r="132">
      <c r="A132" s="8" t="inlineStr">
        <is>
          <t>Code after Change2</t>
        </is>
      </c>
      <c r="B132" s="8" t="inlineStr">
        <is>
          <t>Strategy</t>
        </is>
      </c>
      <c r="C132" s="8" t="inlineStr">
        <is>
          <t>Behavioral</t>
        </is>
      </c>
      <c r="D132" s="8" t="inlineStr">
        <is>
          <t>D2 Temp Directory Deletion</t>
        </is>
      </c>
      <c r="E132" s="8" t="inlineStr">
        <is>
          <t>Strategy=org.junit.jupiter.api.io.TempDirDeletionStrategy; ConcreteStrategy=org.junit.jupiter.api.io.TempDirDeletionStrategy.IgnoreFailures; ConcreteStrategy=org.junit.jupiter.api.io.TempDirDeletionStrategy.Standard; Selection=org.junit.jupiter.engine.extension.TempDirectory#determineDeletionStrategy</t>
        </is>
      </c>
      <c r="F132" s="8" t="inlineStr">
        <is>
          <t>Part2/code/junit-jupiter-api/src/main/java/org/junit/jupiter/api/io/TempDirDeletionStrategy.java:71-474; Part2/code/junit-jupiter-api/src/main/java/org/junit/jupiter/api/io/TempDirDeletionStrategy.java:97-149; Part2/code/junit-jupiter-api/src/main/java/org/junit/jupiter/api/io/TempDirDeletionStrategy.java:165-360; Part2/code/junit-jupiter-engine/src/main/java/org/junit/jupiter/engine/extension/TempDirectory.java:187-192</t>
        </is>
      </c>
      <c r="G132" s="8" t="inlineStr">
        <is>
          <t>How a temp directory is deleted is a TempDirDeletionStrategy (IgnoreFailures or Standard) chosen from @TempDir(deletionStrategy) or the configuration and called from Cleanup.run.</t>
        </is>
      </c>
      <c r="H132" s="8" t="inlineStr">
        <is>
          <t>preserved</t>
        </is>
      </c>
      <c r="I132" s="8" t="inlineStr">
        <is>
          <t>Not affected by CH02; participants unchanged.</t>
        </is>
      </c>
    </row>
    <row r="133">
      <c r="A133" s="8" t="inlineStr">
        <is>
          <t>Code after Change2</t>
        </is>
      </c>
      <c r="B133" s="8" t="inlineStr">
        <is>
          <t>Strategy</t>
        </is>
      </c>
      <c r="C133" s="8" t="inlineStr">
        <is>
          <t>Behavioral</t>
        </is>
      </c>
      <c r="D133" s="8" t="inlineStr">
        <is>
          <t>D3 Parameter Resolution</t>
        </is>
      </c>
      <c r="E133" s="8" t="inlineStr">
        <is>
          <t>Strategy=org.junit.jupiter.api.extension.ParameterResolver; ConcreteStrategy=org.junit.jupiter.engine.extension.TempDirectory; ConcreteStrategy=org.junit.jupiter.engine.extension.TestInfoParameterResolver; ConcreteStrategy=org.junit.jupiter.engine.extension.TestReporterParameterResolver; Context=org.junit.jupiter.engine.execution.ParameterResolutionUtils#resolveParameter; ConcreteStrategy=org.junit.jupiter.api.extension.support.ManagedResourceExtension</t>
        </is>
      </c>
      <c r="F133" s="8" t="inlineStr">
        <is>
          <t>Part2/code/junit-jupiter-api/src/main/java/org/junit/jupiter/api/extension/ParameterResolver.java:69-116; Part2/code/junit-jupiter-engine/src/main/java/org/junit/jupiter/engine/extension/TempDirectory.java:72-359; Part2/code/junit-jupiter-engine/src/main/java/org/junit/jupiter/engine/extension/TestInfoParameterResolver.java:30-100; Part2/code/junit-jupiter-engine/src/main/java/org/junit/jupiter/engine/extension/TestReporterParameterResolver.java:23-40; Part2/code/junit-jupiter-engine/src/main/java/org/junit/jupiter/engine/execution/ParameterResolutionUtils.java:127-180; Part2/code/junit-jupiter-api/src/main/java/org/junit/jupiter/api/extension/support/ManagedResourceExtension.java:39-96</t>
        </is>
      </c>
      <c r="G133" s="8" t="inlineStr">
        <is>
          <t>For each parameter the context asks every ParameterResolver supportsParameter; exactly one must match and its resolveParameter supplies the value (none or several is an error).</t>
        </is>
      </c>
      <c r="H133" s="8" t="inlineStr">
        <is>
          <t>extended</t>
        </is>
      </c>
      <c r="I133" s="8" t="inlineStr">
        <is>
          <t>Added ConcreteStrategy ManagedResourceExtension, which resolves @ManagedResource parameters. The context (ParameterResolutionUtils) is unchanged.</t>
        </is>
      </c>
    </row>
    <row r="134">
      <c r="A134" s="8" t="inlineStr">
        <is>
          <t>Code after Change2</t>
        </is>
      </c>
      <c r="B134" s="8" t="inlineStr">
        <is>
          <t>Strategy</t>
        </is>
      </c>
      <c r="C134" s="8" t="inlineStr">
        <is>
          <t>Behavioral</t>
        </is>
      </c>
      <c r="D134" s="8" t="inlineStr">
        <is>
          <t>D4 Conditional Execution</t>
        </is>
      </c>
      <c r="E134" s="8" t="inlineStr">
        <is>
          <t>Strategy=org.junit.jupiter.api.extension.ExecutionCondition; ConcreteStrategy=org.junit.jupiter.engine.extension.DisabledCondition; Context=org.junit.jupiter.engine.execution.ConditionEvaluator#evaluate; Caller=org.junit.jupiter.engine.descriptor.JupiterTestDescriptor#shouldBeSkipped</t>
        </is>
      </c>
      <c r="F134" s="8" t="inlineStr">
        <is>
          <t>Part2/code/junit-jupiter-api/src/main/java/org/junit/jupiter/api/extension/ExecutionCondition.java:58-73; Part2/code/junit-jupiter-engine/src/main/java/org/junit/jupiter/engine/extension/DisabledCondition.java:31-54; Part2/code/junit-jupiter-engine/src/main/java/org/junit/jupiter/engine/execution/ConditionEvaluator.java:48-59; Part2/code/junit-jupiter-engine/src/main/java/org/junit/jupiter/engine/descriptor/JupiterTestDescriptor.java:227-232</t>
        </is>
      </c>
      <c r="G134" s="8" t="inlineStr">
        <is>
          <t>Each ExecutionCondition encapsulates an enable/disable policy; ConditionEvaluator applies all of them and the first 'disabled' wins.</t>
        </is>
      </c>
      <c r="H134" s="8" t="inlineStr">
        <is>
          <t>preserved</t>
        </is>
      </c>
      <c r="I134" s="8" t="inlineStr">
        <is>
          <t>Not affected by CH02; participants unchanged.</t>
        </is>
      </c>
    </row>
    <row r="135">
      <c r="A135" s="8" t="inlineStr">
        <is>
          <t>Code after Change2</t>
        </is>
      </c>
      <c r="B135" s="8" t="inlineStr">
        <is>
          <t>Strategy</t>
        </is>
      </c>
      <c r="C135" s="8" t="inlineStr">
        <is>
          <t>Behavioral</t>
        </is>
      </c>
      <c r="D135" s="8" t="inlineStr">
        <is>
          <t>D5 Store Close Action</t>
        </is>
      </c>
      <c r="E135" s="8" t="inlineStr">
        <is>
          <t>Strategy=org.junit.platform.engine.support.store.NamespacedHierarchicalStore.CloseAction; ConcreteStrategy (lambda)=org.junit.jupiter.engine.descriptor.AbstractExtensionContext#createCloseAction; Context=org.junit.platform.engine.support.store.NamespacedHierarchicalStore#close</t>
        </is>
      </c>
      <c r="F135" s="8" t="inlineStr">
        <is>
          <t>Part2/code/junit-platform-engine/src/main/java/org/junit/platform/engine/support/store/NamespacedHierarchicalStore.java:734-761; Part2/code/junit-jupiter-engine/src/main/java/org/junit/jupiter/engine/descriptor/AbstractExtensionContext.java:103-123; Part2/code/junit-platform-engine/src/main/java/org/junit/platform/engine/support/store/NamespacedHierarchicalStore.java:135-165</t>
        </is>
      </c>
      <c r="G135" s="8" t="inlineStr">
        <is>
          <t>The platform store does not know how to close Jupiter values, so AbstractExtensionContext injects a CloseAction (close AutoCloseable / CloseableResource values).</t>
        </is>
      </c>
      <c r="H135" s="8" t="inlineStr">
        <is>
          <t>preserved</t>
        </is>
      </c>
      <c r="I135" s="8" t="inlineStr">
        <is>
          <t>Not affected by CH02; participants unchanged.</t>
        </is>
      </c>
    </row>
    <row r="136">
      <c r="A136" s="8" t="inlineStr">
        <is>
          <t>Code after Change2</t>
        </is>
      </c>
      <c r="B136" s="8" t="inlineStr">
        <is>
          <t>Adapter</t>
        </is>
      </c>
      <c r="C136" s="8" t="inlineStr">
        <is>
          <t>Structural</t>
        </is>
      </c>
      <c r="D136" s="8" t="inlineStr">
        <is>
          <t>D6 Extension Store Adapter</t>
        </is>
      </c>
      <c r="E136" s="8" t="inlineStr">
        <is>
          <t>Target=org.junit.jupiter.api.extension.ExtensionContext.Store; Adapter=org.junit.jupiter.engine.execution.NamespaceAwareStore; Adaptee=org.junit.platform.engine.support.store.NamespacedHierarchicalStore; Adapter factory=org.junit.jupiter.engine.execution.LauncherStoreFacade#getStoreAdapter; Client=org.junit.jupiter.engine.descriptor.AbstractExtensionContext#getStore</t>
        </is>
      </c>
      <c r="F136" s="8" t="inlineStr">
        <is>
          <t>Part2/code/junit-jupiter-api/src/main/java/org/junit/jupiter/api/extension/ExtensionContext.java:526-897; Part2/code/junit-jupiter-engine/src/main/java/org/junit/jupiter/engine/execution/NamespaceAwareStore.java:31-127; Part2/code/junit-platform-engine/src/main/java/org/junit/platform/engine/support/store/NamespacedHierarchicalStore.java:56-763; Part2/code/junit-jupiter-engine/src/main/java/org/junit/jupiter/engine/execution/LauncherStoreFacade.java:46-50; Part2/code/junit-jupiter-engine/src/main/java/org/junit/jupiter/engine/descriptor/AbstractExtensionContext.java:219-221</t>
        </is>
      </c>
      <c r="G136" s="8" t="inlineStr">
        <is>
          <t>Extensions use the namespace-scoped ExtensionContext.Store; NamespaceAwareStore implements it on top of the platform NamespacedHierarchicalStore, fixing the namespace and translating exceptions.</t>
        </is>
      </c>
      <c r="H136" s="8" t="inlineStr">
        <is>
          <t>preserved</t>
        </is>
      </c>
      <c r="I136" s="8" t="inlineStr">
        <is>
          <t>Not affected by CH02; participants unchanged.</t>
        </is>
      </c>
    </row>
    <row r="137">
      <c r="A137" s="8" t="inlineStr">
        <is>
          <t>Code after Change2</t>
        </is>
      </c>
      <c r="B137" s="8" t="inlineStr">
        <is>
          <t>Adapter</t>
        </is>
      </c>
      <c r="C137" s="8" t="inlineStr">
        <is>
          <t>Structural</t>
        </is>
      </c>
      <c r="D137" s="8" t="inlineStr">
        <is>
          <t>D7 Lifecycle Method Adapters</t>
        </is>
      </c>
      <c r="E137" s="8" t="inlineStr">
        <is>
          <t>Target=org.junit.jupiter.engine.execution.BeforeEachMethodAdapter; Target=org.junit.jupiter.engine.execution.AfterEachMethodAdapter; Adapter (lambda)=org.junit.jupiter.engine.descriptor.ClassBasedTestDescriptor#synthesizeBeforeEachMethodAdapter; Adapter (lambda)=org.junit.jupiter.engine.descriptor.ClassBasedTestDescriptor#synthesizeAfterEachMethodAdapter; Client=org.junit.jupiter.engine.descriptor.TestMethodTestDescriptor#invokeBeforeEachMethods</t>
        </is>
      </c>
      <c r="F137" s="8" t="inlineStr">
        <is>
          <t>Part2/code/junit-jupiter-engine/src/main/java/org/junit/jupiter/engine/execution/BeforeEachMethodAdapter.java:29-33; Part2/code/junit-jupiter-engine/src/main/java/org/junit/jupiter/engine/execution/AfterEachMethodAdapter.java:29-33; Part2/code/junit-jupiter-engine/src/main/java/org/junit/jupiter/engine/descriptor/ClassBasedTestDescriptor.java:533-536; Part2/code/junit-jupiter-engine/src/main/java/org/junit/jupiter/engine/descriptor/ClassBasedTestDescriptor.java:538-541; Part2/code/junit-jupiter-engine/src/main/java/org/junit/jupiter/engine/descriptor/TestMethodTestDescriptor.java:187-197</t>
        </is>
      </c>
      <c r="G137" s="8" t="inlineStr">
        <is>
          <t>A user's @BeforeEach/@AfterEach Method is wrapped as a synthetic extension implementing BeforeEachMethodAdapter/AfterEachMethodAdapter so it runs through the extension ordering. Adapters are lambdas (no named class).</t>
        </is>
      </c>
      <c r="H137" s="8" t="inlineStr">
        <is>
          <t>preserved</t>
        </is>
      </c>
      <c r="I137" s="8" t="inlineStr">
        <is>
          <t>Not affected by CH02; participants unchanged.</t>
        </is>
      </c>
    </row>
    <row r="138">
      <c r="A138" s="8" t="inlineStr">
        <is>
          <t>Code after Change2</t>
        </is>
      </c>
      <c r="B138" s="8" t="inlineStr">
        <is>
          <t>Observer</t>
        </is>
      </c>
      <c r="C138" s="8" t="inlineStr">
        <is>
          <t>Behavioral</t>
        </is>
      </c>
      <c r="D138" s="8" t="inlineStr">
        <is>
          <t>D8 Test Outcome Watchers</t>
        </is>
      </c>
      <c r="E138" s="8" t="inlineStr">
        <is>
          <t>Observer=org.junit.jupiter.api.extension.TestWatcher; ConcreteObserver=org.junit.jupiter.engine.extension.RepetitionExtension; Subject (notify)=org.junit.jupiter.engine.descriptor.MethodBasedTestDescriptor#invokeTestWatchers; Subject (trigger)=org.junit.jupiter.engine.descriptor.TestMethodTestDescriptor#nodeFinished</t>
        </is>
      </c>
      <c r="F138" s="8" t="inlineStr">
        <is>
          <t>Part2/code/junit-jupiter-api/src/main/java/org/junit/jupiter/api/extension/TestWatcher.java:70-124; Part2/code/junit-jupiter-engine/src/main/java/org/junit/jupiter/engine/extension/RepetitionExtension.java:41-78; Part2/code/junit-jupiter-engine/src/main/java/org/junit/jupiter/engine/descriptor/MethodBasedTestDescriptor.java:166-192; Part2/code/junit-jupiter-engine/src/main/java/org/junit/jupiter/engine/descriptor/TestMethodTestDescriptor.java:278-291</t>
        </is>
      </c>
      <c r="G138" s="8" t="inlineStr">
        <is>
          <t>TestWatcher extensions are told each test's outcome and cannot change it; their exceptions are only logged.</t>
        </is>
      </c>
      <c r="H138" s="8" t="inlineStr">
        <is>
          <t>preserved</t>
        </is>
      </c>
      <c r="I138" s="8" t="inlineStr">
        <is>
          <t>Not affected by CH02; participants unchanged.</t>
        </is>
      </c>
    </row>
    <row r="139">
      <c r="A139" s="8" t="inlineStr">
        <is>
          <t>Code after Change2</t>
        </is>
      </c>
      <c r="B139" s="8" t="inlineStr">
        <is>
          <t>Chain of Responsibility</t>
        </is>
      </c>
      <c r="C139" s="8" t="inlineStr">
        <is>
          <t>Behavioral</t>
        </is>
      </c>
      <c r="D139" s="8" t="inlineStr">
        <is>
          <t>D9 Invocation Interceptor Chain</t>
        </is>
      </c>
      <c r="E139" s="8" t="inlineStr">
        <is>
          <t>Handler=org.junit.jupiter.api.extension.InvocationInterceptor; ConcreteHandler=org.junit.jupiter.engine.extension.TimeoutExtension; Chain builder=org.junit.jupiter.engine.execution.InvocationInterceptorChain#chainInterceptors; Link to next handler=org.junit.jupiter.engine.execution.InvocationInterceptorChain.InterceptedInvocation; Client=org.junit.jupiter.engine.execution.InterceptingExecutableInvoker</t>
        </is>
      </c>
      <c r="F139" s="8" t="inlineStr">
        <is>
          <t>Part2/code/junit-jupiter-api/src/main/java/org/junit/jupiter/api/extension/InvocationInterceptor.java:64-253; Part2/code/junit-jupiter-engine/src/main/java/org/junit/jupiter/engine/extension/TimeoutExtension.java:36-217; Part2/code/junit-jupiter-engine/src/main/java/org/junit/jupiter/engine/execution/InvocationInterceptorChain.java:52-62; Part2/code/junit-jupiter-engine/src/main/java/org/junit/jupiter/engine/execution/InvocationInterceptorChain.java:94-106; Part2/code/junit-jupiter-engine/src/main/java/org/junit/jupiter/engine/execution/InterceptingExecutableInvoker.java:40-137</t>
        </is>
      </c>
      <c r="G139" s="8" t="inlineStr">
        <is>
          <t>Every test/lifecycle/constructor call passes through a chain of InvocationInterceptors built back to front; each handler can proceed(), skip() or wrap the rest of the chain (interceptor-chain variant).</t>
        </is>
      </c>
      <c r="H139" s="8" t="inlineStr">
        <is>
          <t>preserved</t>
        </is>
      </c>
      <c r="I139" s="8" t="inlineStr">
        <is>
          <t>Not affected by CH02; participants unchanged.</t>
        </is>
      </c>
    </row>
    <row r="140">
      <c r="A140" s="8" t="inlineStr">
        <is>
          <t>Code after Change2</t>
        </is>
      </c>
      <c r="B140" s="8" t="inlineStr">
        <is>
          <t>Decorator</t>
        </is>
      </c>
      <c r="C140" s="8" t="inlineStr">
        <is>
          <t>Structural</t>
        </is>
      </c>
      <c r="D140" s="8" t="inlineStr">
        <is>
          <t>D10 Timeout Invocation Wrappers</t>
        </is>
      </c>
      <c r="E140" s="8" t="inlineStr">
        <is>
          <t>Component=org.junit.jupiter.api.extension.InvocationInterceptor.Invocation; ConcreteDecorator=org.junit.jupiter.engine.extension.SameThreadTimeoutInvocation; ConcreteDecorator=org.junit.jupiter.engine.extension.SeparateThreadTimeoutInvocation; ConcreteDecorator=org.junit.jupiter.engine.execution.InvocationInterceptorChain.ValidatingInvocation; Client=org.junit.jupiter.engine.extension.TimeoutExtension#decorate</t>
        </is>
      </c>
      <c r="F140" s="8" t="inlineStr">
        <is>
          <t>Part2/code/junit-jupiter-api/src/main/java/org/junit/jupiter/api/extension/InvocationInterceptor.java:231-251; Part2/code/junit-jupiter-engine/src/main/java/org/junit/jupiter/engine/extension/SameThreadTimeoutInvocation.java:26-99; Part2/code/junit-jupiter-engine/src/main/java/org/junit/jupiter/engine/extension/SeparateThreadTimeoutInvocation.java:24-52; Part2/code/junit-jupiter-engine/src/main/java/org/junit/jupiter/engine/execution/InvocationInterceptorChain.java:108-151; Part2/code/junit-jupiter-engine/src/main/java/org/junit/jupiter/engine/extension/TimeoutExtension.java:178-190</t>
        </is>
      </c>
      <c r="G140" s="8" t="inlineStr">
        <is>
          <t>TimeoutExtension.decorate wraps the Invocation in a timeout-aware Invocation that keeps the original as delegate and adds timing around delegate.proceed(); ValidatingInvocation adds a call-once check.</t>
        </is>
      </c>
      <c r="H140" s="8" t="inlineStr">
        <is>
          <t>preserved</t>
        </is>
      </c>
      <c r="I140" s="8" t="inlineStr">
        <is>
          <t>Not affected by CH02; participants unchanged.</t>
        </is>
      </c>
    </row>
    <row r="141">
      <c r="A141" s="8" t="inlineStr">
        <is>
          <t>Code after Change2</t>
        </is>
      </c>
      <c r="B141" s="8" t="inlineStr">
        <is>
          <t>Command</t>
        </is>
      </c>
      <c r="C141" s="8" t="inlineStr">
        <is>
          <t>Behavioral</t>
        </is>
      </c>
      <c r="D141" s="8" t="inlineStr">
        <is>
          <t>D11 Packaged Reflective Calls</t>
        </is>
      </c>
      <c r="E141" s="8" t="inlineStr">
        <is>
          <t>Command=org.junit.jupiter.api.extension.InvocationInterceptor.Invocation; ConcreteCommand=org.junit.jupiter.engine.execution.MethodInvocation; ConcreteCommand=org.junit.jupiter.engine.execution.ConstructorInvocation; Client=org.junit.jupiter.engine.execution.InterceptingExecutableInvoker</t>
        </is>
      </c>
      <c r="F141" s="8" t="inlineStr">
        <is>
          <t>Part2/code/junit-jupiter-api/src/main/java/org/junit/jupiter/api/extension/InvocationInterceptor.java:231-251; Part2/code/junit-jupiter-engine/src/main/java/org/junit/jupiter/engine/execution/MethodInvocation.java:25-64; Part2/code/junit-jupiter-engine/src/main/java/org/junit/jupiter/engine/execution/ConstructorInvocation.java:25-60; Part2/code/junit-jupiter-engine/src/main/java/org/junit/jupiter/engine/execution/InterceptingExecutableInvoker.java:40-137</t>
        </is>
      </c>
      <c r="G141" s="8" t="inlineStr">
        <is>
          <t>A resolved reflective call (method or constructor + target + arguments) is packaged as an Invocation object so interceptors can run it later, on another thread, or skip it.</t>
        </is>
      </c>
      <c r="H141" s="8" t="inlineStr">
        <is>
          <t>preserved</t>
        </is>
      </c>
      <c r="I141" s="8" t="inlineStr">
        <is>
          <t>Not affected by CH02; participants unchanged.</t>
        </is>
      </c>
    </row>
    <row r="142">
      <c r="A142" s="8" t="inlineStr">
        <is>
          <t>Code after Change2</t>
        </is>
      </c>
      <c r="B142" s="8" t="inlineStr">
        <is>
          <t>Strategy</t>
        </is>
      </c>
      <c r="C142" s="8" t="inlineStr">
        <is>
          <t>Behavioral</t>
        </is>
      </c>
      <c r="D142" s="8" t="inlineStr">
        <is>
          <t>N1 Managed Resource Factory</t>
        </is>
      </c>
      <c r="E142" s="8" t="inlineStr">
        <is>
          <t>Strategy=org.junit.jupiter.api.extension.support.ResourceFactory; ConcreteStrategy=user-supplied (none in production code); Context=org.junit.jupiter.api.extension.support.ManagedResourceExtension#resolveParameter; Context (destroy)=org.junit.jupiter.api.extension.support.ManagedResourceExtension.Holder</t>
        </is>
      </c>
      <c r="F142" s="8" t="inlineStr">
        <is>
          <t>Part2/code/junit-jupiter-api/src/main/java/org/junit/jupiter/api/extension/support/ResourceFactory.java:30-53; ConcreteStrategy: absent in production code; Part2/code/junit-jupiter-api/src/main/java/org/junit/jupiter/api/extension/support/ManagedResourceExtension.java:52-63; Part2/code/junit-jupiter-api/src/main/java/org/junit/jupiter/api/extension/support/ManagedResourceExtension.java:71-94</t>
        </is>
      </c>
      <c r="G142" s="8" t="inlineStr">
        <is>
          <t>How a @ManagedResource is created and destroyed is a ResourceFactory&lt;T&gt; chosen per parameter by @ManagedResource(Factory.class); ManagedResourceExtension instantiates it and calls create(context), Holder later calls destroy(resource) (default: close AutoCloseable). ConcreteStrategy role is absent from production code: factories are supplied by users (e.g. HttpServerFactory in Part2/code/demo, CountingFactory in ManagedResourceTests).</t>
        </is>
      </c>
      <c r="H142" s="8" t="inlineStr">
        <is>
          <t>newly_introduced</t>
        </is>
      </c>
      <c r="I142" s="8" t="inlineStr">
        <is>
          <t>Introduced by CH02.</t>
        </is>
      </c>
    </row>
    <row r="143">
      <c r="A143" s="8" t="inlineStr">
        <is>
          <t>Code after Change2</t>
        </is>
      </c>
      <c r="B143" s="8" t="inlineStr">
        <is>
          <t>Adapter</t>
        </is>
      </c>
      <c r="C143" s="8" t="inlineStr">
        <is>
          <t>Structural</t>
        </is>
      </c>
      <c r="D143" s="8" t="inlineStr">
        <is>
          <t>N2 Managed Resource Holder</t>
        </is>
      </c>
      <c r="E143" s="8" t="inlineStr">
        <is>
          <t>Target=java.lang.AutoCloseable; Target=org.junit.jupiter.api.extension.ExtensionContext.Store.CloseableResource; Adapter=org.junit.jupiter.api.extension.support.ManagedResourceExtension.Holder; Adaptee=org.junit.jupiter.api.extension.support.ResourceFactory#destroy; Client=org.junit.jupiter.engine.descriptor.AbstractExtensionContext#createCloseAction</t>
        </is>
      </c>
      <c r="F143" s="8" t="inlineStr">
        <is>
          <t>java.lang.AutoCloseable (JDK); Part2/code/junit-jupiter-api/src/main/java/org/junit/jupiter/api/extension/ExtensionContext.java:544-553; Part2/code/junit-jupiter-api/src/main/java/org/junit/jupiter/api/extension/support/ManagedResourceExtension.java:71-94; Part2/code/junit-jupiter-api/src/main/java/org/junit/jupiter/api/extension/support/ResourceFactory.java:47-51; Part2/code/junit-jupiter-engine/src/main/java/org/junit/jupiter/engine/descriptor/AbstractExtensionContext.java:103-123</t>
        </is>
      </c>
      <c r="G143" s="8" t="inlineStr">
        <is>
          <t>The store's close action only knows AutoCloseable.close() / Store.CloseableResource.close(); ResourceFactory offers destroy(T resource). Holder binds the resource to its factory and exposes close() that calls factory.destroy(resource), so any factory's cleanup runs through JUnit's existing close mechanism (both close paths, so it also works with auto-close disabled).</t>
        </is>
      </c>
      <c r="H143" s="8" t="inlineStr">
        <is>
          <t>newly_introduced</t>
        </is>
      </c>
      <c r="I143" s="8" t="inlineStr">
        <is>
          <t>Introduced by CH02.</t>
        </is>
      </c>
    </row>
    <row r="145">
      <c r="A145" s="5" t="inlineStr">
        <is>
          <t>Source: One row per instance per version (data/build_part2_csv.py)</t>
        </is>
      </c>
    </row>
  </sheetData>
  <autoFilter ref="A1:I14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3"/>
  <sheetViews>
    <sheetView workbookViewId="0">
      <pane ySplit="1" topLeftCell="A2" activePane="bottomLeft" state="frozen"/>
      <selection pane="bottomLeft" activeCell="A1" sqref="A1"/>
    </sheetView>
  </sheetViews>
  <sheetFormatPr baseColWidth="8" defaultRowHeight="15"/>
  <cols>
    <col width="25" customWidth="1" min="1" max="1"/>
    <col width="43" customWidth="1" min="2" max="2"/>
    <col width="12" customWidth="1" min="3" max="3"/>
    <col width="60" customWidth="1" min="4" max="4"/>
    <col width="12" customWidth="1" min="5" max="5"/>
    <col width="17" customWidth="1" min="6" max="6"/>
    <col width="60" customWidth="1" min="7" max="7"/>
    <col width="60" customWidth="1" min="8" max="8"/>
    <col width="60" customWidth="1" min="9" max="9"/>
    <col width="19" customWidth="1" min="10" max="10"/>
    <col width="60" customWidth="1" min="11" max="11"/>
  </cols>
  <sheetData>
    <row r="1">
      <c r="A1" s="7" t="inlineStr">
        <is>
          <t>pattern_name</t>
        </is>
      </c>
      <c r="B1" s="7" t="inlineStr">
        <is>
          <t>instance_name</t>
        </is>
      </c>
      <c r="C1" s="7" t="inlineStr">
        <is>
          <t>language</t>
        </is>
      </c>
      <c r="D1" s="7" t="inlineStr">
        <is>
          <t>snippet_path</t>
        </is>
      </c>
      <c r="E1" s="7" t="inlineStr">
        <is>
          <t>source_loc</t>
        </is>
      </c>
      <c r="F1" s="7" t="inlineStr">
        <is>
          <t>max_function_cc</t>
        </is>
      </c>
      <c r="G1" s="7" t="inlineStr">
        <is>
          <t>runtime_compiler</t>
        </is>
      </c>
      <c r="H1" s="7" t="inlineStr">
        <is>
          <t>test_command</t>
        </is>
      </c>
      <c r="I1" s="7" t="inlineStr">
        <is>
          <t>test_result</t>
        </is>
      </c>
      <c r="J1" s="7" t="inlineStr">
        <is>
          <t>median_process_ms</t>
        </is>
      </c>
      <c r="K1" s="7" t="inlineStr">
        <is>
          <t>language_notes</t>
        </is>
      </c>
    </row>
    <row r="2">
      <c r="A2" s="8" t="inlineStr">
        <is>
          <t>Observer</t>
        </is>
      </c>
      <c r="B2" s="8" t="inlineStr">
        <is>
          <t>C1 Test Execution Listeners</t>
        </is>
      </c>
      <c r="C2" s="8" t="inlineStr">
        <is>
          <t>Java</t>
        </is>
      </c>
      <c r="D2" s="8" t="inlineStr">
        <is>
          <t>Part3/observer-test-listeners/java/src/observer/BrokenListener.java; Part3/observer-test-listeners/java/src/observer/CompositeTestExecutionListener.java; Part3/observer-test-listeners/java/src/observer/EventFormatException.java; Part3/observer-test-listeners/java/src/observer/EventRunner.java; Part3/observer-test-listeners/java/src/observer/LoggingListener.java; Part3/observer-test-listeners/java/src/observer/ObserverDemo.java; Part3/observer-test-listeners/java/src/observer/Status.java; Part3/observer-test-listeners/java/src/observer/SummaryListener.java; Part3/observer-test-listeners/java/src/observer/TestExecutionListener.java</t>
        </is>
      </c>
      <c r="E2" s="8" t="n">
        <v>211</v>
      </c>
      <c r="F2" s="8" t="n">
        <v>7</v>
      </c>
      <c r="G2" s="8" t="inlineStr">
        <is>
          <t>openjdk version "25.0.4.1" 2026-08-18 LTS</t>
        </is>
      </c>
      <c r="H2" s="8" t="inlineStr">
        <is>
          <t>(cd Part3/observer-test-listeners/java) javac -d out src/observer/*.java test/observer/*.java &amp;&amp; java -cp out observer.ObserverTest</t>
        </is>
      </c>
      <c r="I2" s="8" t="inlineStr">
        <is>
          <t>3/3 passed (Part3/evidence/test_results/Observer_Java.txt)</t>
        </is>
      </c>
      <c r="J2" s="8" t="n">
        <v>36</v>
      </c>
      <c r="K2" s="8" t="inlineStr">
        <is>
          <t>Static typing: observer is an interface with default no-op methods, checked by the compiler; notifyEach takes a Consumer lambda; catches RuntimeException; listener name via reflection; garbage collected.</t>
        </is>
      </c>
    </row>
    <row r="3">
      <c r="A3" s="8" t="inlineStr">
        <is>
          <t>Observer</t>
        </is>
      </c>
      <c r="B3" s="8" t="inlineStr">
        <is>
          <t>C1 Test Execution Listeners</t>
        </is>
      </c>
      <c r="C3" s="8" t="inlineStr">
        <is>
          <t>Python</t>
        </is>
      </c>
      <c r="D3" s="8" t="inlineStr">
        <is>
          <t>Part3/observer-test-listeners/python/listeners.py; Part3/observer-test-listeners/python/runner.py; Part3/observer-test-listeners/python/main.py</t>
        </is>
      </c>
      <c r="E3" s="8" t="n">
        <v>125</v>
      </c>
      <c r="F3" s="8" t="n">
        <v>8</v>
      </c>
      <c r="G3" s="8" t="inlineStr">
        <is>
          <t>Python 3.14.2</t>
        </is>
      </c>
      <c r="H3" s="8" t="inlineStr">
        <is>
          <t>(cd Part3/observer-test-listeners/python) python3 -m unittest -v test_observer</t>
        </is>
      </c>
      <c r="I3" s="8" t="inlineStr">
        <is>
          <t>3/3 passed (Part3/evidence/test_results/Observer_Python.txt)</t>
        </is>
      </c>
      <c r="J3" s="8" t="n">
        <v>21.8</v>
      </c>
      <c r="K3" s="8" t="inlineStr">
        <is>
          <t>Duck typing: base class only supplies no-op methods, no ABC (callbacks are optional); a class not inheriting from it still works; misspelt callbacks only fail at run time; catches Exception; garbage collected.</t>
        </is>
      </c>
    </row>
    <row r="4">
      <c r="A4" s="8" t="inlineStr">
        <is>
          <t>Observer</t>
        </is>
      </c>
      <c r="B4" s="8" t="inlineStr">
        <is>
          <t>C1 Test Execution Listeners</t>
        </is>
      </c>
      <c r="C4" s="8" t="inlineStr">
        <is>
          <t>JavaScript</t>
        </is>
      </c>
      <c r="D4" s="8" t="inlineStr">
        <is>
          <t>Part3/observer-test-listeners/javascript/src/app.js; Part3/observer-test-listeners/javascript/src/listeners.js; Part3/observer-test-listeners/javascript/src/main.js; Part3/observer-test-listeners/javascript/src/runner.js</t>
        </is>
      </c>
      <c r="E4" s="8" t="n">
        <v>151</v>
      </c>
      <c r="F4" s="8" t="n">
        <v>8</v>
      </c>
      <c r="G4" s="8" t="inlineStr">
        <is>
          <t>Node.js v26.11.1</t>
        </is>
      </c>
      <c r="H4" s="8" t="inlineStr">
        <is>
          <t>(cd Part3/observer-test-listeners/javascript) node --test test/observer.test.js</t>
        </is>
      </c>
      <c r="I4" s="8" t="inlineStr">
        <is>
          <t>3/3 passed (Part3/evidence/test_results/Observer_JavaScript.txt)</t>
        </is>
      </c>
      <c r="J4" s="8" t="n">
        <v>93.2</v>
      </c>
      <c r="K4" s="8" t="inlineStr">
        <is>
          <t>Classes without interfaces: nothing enforces the contract, a plain object with one method is accepted; #private fields; catch receives any thrown value; listener name via constructor.name; synchronous to keep output order; garbage collected.</t>
        </is>
      </c>
    </row>
    <row r="5">
      <c r="A5" s="8" t="inlineStr">
        <is>
          <t>Observer</t>
        </is>
      </c>
      <c r="B5" s="8" t="inlineStr">
        <is>
          <t>C1 Test Execution Listeners</t>
        </is>
      </c>
      <c r="C5" s="8" t="inlineStr">
        <is>
          <t>C++</t>
        </is>
      </c>
      <c r="D5" s="8" t="inlineStr">
        <is>
          <t>Part3/observer-test-listeners/cpp/listeners.hpp; Part3/observer-test-listeners/cpp/listeners.cpp; Part3/observer-test-listeners/cpp/runner.hpp; Part3/observer-test-listeners/cpp/runner.cpp; Part3/observer-test-listeners/cpp/main.cpp</t>
        </is>
      </c>
      <c r="E5" s="8" t="n">
        <v>236</v>
      </c>
      <c r="F5" s="8" t="n">
        <v>10</v>
      </c>
      <c r="G5" s="8" t="inlineStr">
        <is>
          <t>Apple clang version 21.0.0 (clang-2100.3.34.2), -std=c++20 (no -O flag, as in the README)</t>
        </is>
      </c>
      <c r="H5" s="8" t="inlineStr">
        <is>
          <t>(cd Part3/observer-test-listeners/cpp) clang++ -std=c++20 -Wall -Wextra -pedantic -o observer main.cpp listeners.cpp runner.cpp &amp;&amp; clang++ -std=c++20 -Wall -Wextra -pedantic -o observer_test test_main.cpp listeners.cpp runner.cpp &amp;&amp; ./observer_test</t>
        </is>
      </c>
      <c r="I5" s="8" t="inlineStr">
        <is>
          <t>3/3 passed (Part3/evidence/test_results/Observer_Cpp.txt)</t>
        </is>
      </c>
      <c r="J5" s="8" t="n">
        <v>5.1</v>
      </c>
      <c r="K5" s="8" t="inlineStr">
        <is>
          <t>Abstract base class with virtual no-op callbacks and override checking; name() is pure virtual (no portable runtime class name); ownership explicit: shared_ptr in the composite, runner borrows by reference; catches std::exception; std::function for notifyEach.</t>
        </is>
      </c>
    </row>
    <row r="6">
      <c r="A6" s="8" t="inlineStr">
        <is>
          <t>Composite</t>
        </is>
      </c>
      <c r="B6" s="8" t="inlineStr">
        <is>
          <t>A1 Test Descriptor Tree</t>
        </is>
      </c>
      <c r="C6" s="8" t="inlineStr">
        <is>
          <t>Java</t>
        </is>
      </c>
      <c r="D6" s="8" t="inlineStr">
        <is>
          <t>Part3/composite-test-tree/java/src/composite/CompositeDemo.java; Part3/composite-test-tree/java/src/composite/TestCase.java; Part3/composite-test-tree/java/src/composite/TestContainer.java; Part3/composite-test-tree/java/src/composite/TestNode.java; Part3/composite-test-tree/java/src/composite/TreeFormatException.java; Part3/composite-test-tree/java/src/composite/TreeParser.java</t>
        </is>
      </c>
      <c r="E6" s="8" t="n">
        <v>228</v>
      </c>
      <c r="F6" s="8" t="n">
        <v>22</v>
      </c>
      <c r="G6" s="8" t="inlineStr">
        <is>
          <t>openjdk version "25.0.4.1" 2026-08-18 LTS</t>
        </is>
      </c>
      <c r="H6" s="8" t="inlineStr">
        <is>
          <t>(cd Part3/composite-test-tree/java) javac -d out src/composite/*.java test/composite/*.java &amp;&amp; java -cp out composite.CompositeTest</t>
        </is>
      </c>
      <c r="I6" s="8" t="inlineStr">
        <is>
          <t>3/3 passed (Part3/evidence/test_results/Composite_Java.txt)</t>
        </is>
      </c>
      <c r="J6" s="8" t="n">
        <v>34</v>
      </c>
      <c r="K6" s="8" t="inlineStr">
        <is>
          <t>Component is an interface; safe Composite (addChild only on TestContainer; JUnit uses the transparent form); leaf is an immutable record; parser uses pattern-matching instanceof; removed children are garbage collected.</t>
        </is>
      </c>
    </row>
    <row r="7">
      <c r="A7" s="8" t="inlineStr">
        <is>
          <t>Composite</t>
        </is>
      </c>
      <c r="B7" s="8" t="inlineStr">
        <is>
          <t>A1 Test Descriptor Tree</t>
        </is>
      </c>
      <c r="C7" s="8" t="inlineStr">
        <is>
          <t>Python</t>
        </is>
      </c>
      <c r="D7" s="8" t="inlineStr">
        <is>
          <t>Part3/composite-test-tree/python/nodes.py; Part3/composite-test-tree/python/tree_parser.py; Part3/composite-test-tree/python/main.py</t>
        </is>
      </c>
      <c r="E7" s="8" t="n">
        <v>141</v>
      </c>
      <c r="F7" s="8" t="n">
        <v>22</v>
      </c>
      <c r="G7" s="8" t="inlineStr">
        <is>
          <t>Python 3.14.2</t>
        </is>
      </c>
      <c r="H7" s="8" t="inlineStr">
        <is>
          <t>(cd Part3/composite-test-tree/python) python3 -m unittest -v test_composite</t>
        </is>
      </c>
      <c r="I7" s="8" t="inlineStr">
        <is>
          <t>3/3 passed (Part3/evidence/test_results/Composite_Python.txt)</t>
        </is>
      </c>
      <c r="J7" s="8" t="n">
        <v>21.7</v>
      </c>
      <c r="K7" s="8" t="inlineStr">
        <is>
          <t>Component is an abc.ABC with @abstractmethod (missing methods caught when the object is created, at run time); duck-typed recursion with sum(...); safe Composite with isinstance check; lists rebuilt instead of edited while iterating; reference counting frees removed nodes at once.</t>
        </is>
      </c>
    </row>
    <row r="8">
      <c r="A8" s="8" t="inlineStr">
        <is>
          <t>Composite</t>
        </is>
      </c>
      <c r="B8" s="8" t="inlineStr">
        <is>
          <t>A1 Test Descriptor Tree</t>
        </is>
      </c>
      <c r="C8" s="8" t="inlineStr">
        <is>
          <t>JavaScript</t>
        </is>
      </c>
      <c r="D8" s="8" t="inlineStr">
        <is>
          <t>Part3/composite-test-tree/javascript/src/app.js; Part3/composite-test-tree/javascript/src/main.js; Part3/composite-test-tree/javascript/src/nodes.js; Part3/composite-test-tree/javascript/src/tree-parser.js</t>
        </is>
      </c>
      <c r="E8" s="8" t="n">
        <v>135</v>
      </c>
      <c r="F8" s="8" t="n">
        <v>17</v>
      </c>
      <c r="G8" s="8" t="inlineStr">
        <is>
          <t>Node.js v26.11.1</t>
        </is>
      </c>
      <c r="H8" s="8" t="inlineStr">
        <is>
          <t>(cd Part3/composite-test-tree/javascript) node --test test/composite.test.js</t>
        </is>
      </c>
      <c r="I8" s="8" t="inlineStr">
        <is>
          <t>3/3 passed (Part3/evidence/test_results/Composite_JavaScript.txt)</t>
        </is>
      </c>
      <c r="J8" s="8" t="n">
        <v>92.2</v>
      </c>
      <c r="K8" s="8" t="inlineStr">
        <is>
          <t>No interfaces: base class blocks direct construction via new.target and throws in unimplemented methods (found only when called); duck typing underneath; #children private field rebuilt with filter; safe Composite with instanceof; garbage collected.</t>
        </is>
      </c>
    </row>
    <row r="9">
      <c r="A9" s="8" t="inlineStr">
        <is>
          <t>Composite</t>
        </is>
      </c>
      <c r="B9" s="8" t="inlineStr">
        <is>
          <t>A1 Test Descriptor Tree</t>
        </is>
      </c>
      <c r="C9" s="8" t="inlineStr">
        <is>
          <t>C++</t>
        </is>
      </c>
      <c r="D9" s="8" t="inlineStr">
        <is>
          <t>Part3/composite-test-tree/cpp/nodes.hpp; Part3/composite-test-tree/cpp/nodes.cpp; Part3/composite-test-tree/cpp/tree_parser.hpp; Part3/composite-test-tree/cpp/tree_parser.cpp; Part3/composite-test-tree/cpp/main.cpp</t>
        </is>
      </c>
      <c r="E9" s="8" t="n">
        <v>207</v>
      </c>
      <c r="F9" s="8" t="n">
        <v>24</v>
      </c>
      <c r="G9" s="8" t="inlineStr">
        <is>
          <t>Apple clang version 21.0.0 (clang-2100.3.34.2), -std=c++20 (no -O flag, as in the README)</t>
        </is>
      </c>
      <c r="H9" s="8" t="inlineStr">
        <is>
          <t>(cd Part3/composite-test-tree/cpp) clang++ -std=c++20 -Wall -Wextra -pedantic -o composite main.cpp nodes.cpp tree_parser.cpp &amp;&amp; clang++ -std=c++20 -Wall -Wextra -pedantic -o composite_test test_main.cpp nodes.cpp tree_parser.cpp &amp;&amp; ./composite_test</t>
        </is>
      </c>
      <c r="I9" s="8" t="inlineStr">
        <is>
          <t>3/3 passed (Part3/evidence/test_results/Composite_Cpp.txt)</t>
        </is>
      </c>
      <c r="J9" s="8" t="n">
        <v>5.1</v>
      </c>
      <c r="K9" s="8" t="inlineStr">
        <is>
          <t>Pure virtual base class checked by the compiler, copying deleted to avoid slicing; ownership tree of unique_ptr children (erase_if frees a node immediately, whole tree freed when root goes out of scope); parser keeps non-owning raw pointers; safe Composite with dynamic_cast.</t>
        </is>
      </c>
    </row>
    <row r="10">
      <c r="A10" s="8" t="inlineStr">
        <is>
          <t>Strategy</t>
        </is>
      </c>
      <c r="B10" s="8" t="inlineStr">
        <is>
          <t>A3 Post-Discovery Filter Policies</t>
        </is>
      </c>
      <c r="C10" s="8" t="inlineStr">
        <is>
          <t>Java</t>
        </is>
      </c>
      <c r="D10" s="8" t="inlineStr">
        <is>
          <t>Part3/strategy-test-filters/java/src/strategy/ExcludeTag.java; Part3/strategy-test-filters/java/src/strategy/IncludeTag.java; Part3/strategy-test-filters/java/src/strategy/NameContains.java; Part3/strategy-test-filters/java/src/strategy/StrategyDemo.java; Part3/strategy-test-filters/java/src/strategy/TestCase.java; Part3/strategy-test-filters/java/src/strategy/TestFilter.java; Part3/strategy-test-filters/java/src/strategy/TestSelector.java</t>
        </is>
      </c>
      <c r="E10" s="8" t="n">
        <v>104</v>
      </c>
      <c r="F10" s="8" t="n">
        <v>6</v>
      </c>
      <c r="G10" s="8" t="inlineStr">
        <is>
          <t>openjdk version "25.0.4.1" 2026-08-18 LTS</t>
        </is>
      </c>
      <c r="H10" s="8" t="inlineStr">
        <is>
          <t>(cd Part3/strategy-test-filters/java) javac -d out src/strategy/*.java test/strategy/*.java &amp;&amp; java -cp out strategy.StrategyTest</t>
        </is>
      </c>
      <c r="I10" s="8" t="inlineStr">
        <is>
          <t>3/3 passed (Part3/evidence/test_results/Strategy_Java.txt)</t>
        </is>
      </c>
      <c r="J10" s="8" t="n">
        <v>32.8</v>
      </c>
      <c r="K10" s="8" t="inlineStr">
        <is>
          <t>The strategy is an interface and the concrete strategies are records: each is an immutable value with its parameter (tag, text) and the compiler checks every override. TestSelector uses filter::includes as a method reference in a stream, which is the same shape as JUnit's Filter.toPredicate(). The test plugs in an anonymous class the selector has never seen, showing that the context depends only on the interface.</t>
        </is>
      </c>
    </row>
    <row r="11">
      <c r="A11" s="8" t="inlineStr">
        <is>
          <t>Strategy</t>
        </is>
      </c>
      <c r="B11" s="8" t="inlineStr">
        <is>
          <t>A3 Post-Discovery Filter Policies</t>
        </is>
      </c>
      <c r="C11" s="8" t="inlineStr">
        <is>
          <t>Python</t>
        </is>
      </c>
      <c r="D11" s="8" t="inlineStr">
        <is>
          <t>Part3/strategy-test-filters/python/strategy.py; Part3/strategy-test-filters/python/main.py</t>
        </is>
      </c>
      <c r="E11" s="8" t="n">
        <v>77</v>
      </c>
      <c r="F11" s="8" t="n">
        <v>7</v>
      </c>
      <c r="G11" s="8" t="inlineStr">
        <is>
          <t>Python 3.14.2</t>
        </is>
      </c>
      <c r="H11" s="8" t="inlineStr">
        <is>
          <t>(cd Part3/strategy-test-filters/python) python3 -m unittest -v test_strategy</t>
        </is>
      </c>
      <c r="I11" s="8" t="inlineStr">
        <is>
          <t>3/3 passed (Part3/evidence/test_results/Strategy_Python.txt)</t>
        </is>
      </c>
      <c r="J11" s="8" t="n">
        <v>21.2</v>
      </c>
      <c r="K11" s="8" t="inlineStr">
        <is>
          <t>TestFilter is an abc.ABC; a subclass that forgets includes or describe cannot be instantiated, but this is checked at run time, not compile time. The selector only calls includes(), so any object with that method would work (duck typing); the ABC documents the contract. Lists are filtered with a comprehension instead of a stream.</t>
        </is>
      </c>
    </row>
    <row r="12">
      <c r="A12" s="8" t="inlineStr">
        <is>
          <t>Strategy</t>
        </is>
      </c>
      <c r="B12" s="8" t="inlineStr">
        <is>
          <t>A3 Post-Discovery Filter Policies</t>
        </is>
      </c>
      <c r="C12" s="8" t="inlineStr">
        <is>
          <t>JavaScript</t>
        </is>
      </c>
      <c r="D12" s="8" t="inlineStr">
        <is>
          <t>Part3/strategy-test-filters/javascript/src/main.js; Part3/strategy-test-filters/javascript/src/strategy.js</t>
        </is>
      </c>
      <c r="E12" s="8" t="n">
        <v>108</v>
      </c>
      <c r="F12" s="8" t="n">
        <v>5</v>
      </c>
      <c r="G12" s="8" t="inlineStr">
        <is>
          <t>Node.js v26.11.1</t>
        </is>
      </c>
      <c r="H12" s="8" t="inlineStr">
        <is>
          <t>(cd Part3/strategy-test-filters/javascript) node --test test/strategy.test.js</t>
        </is>
      </c>
      <c r="I12" s="8" t="inlineStr">
        <is>
          <t>3/3 passed (Part3/evidence/test_results/Strategy_JavaScript.txt)</t>
        </is>
      </c>
      <c r="J12" s="8" t="n">
        <v>92.8</v>
      </c>
      <c r="K12" s="8" t="inlineStr">
        <is>
          <t>There are no interfaces: TestFilter blocks new TestFilter() with new.target and throws if a subclass forgets a method, which is only noticed when it is called. The test passes a plain object { includes } as a strategy and the selector accepts it: pure duck typing. Parameters are #private fields.</t>
        </is>
      </c>
    </row>
    <row r="13">
      <c r="A13" s="8" t="inlineStr">
        <is>
          <t>Strategy</t>
        </is>
      </c>
      <c r="B13" s="8" t="inlineStr">
        <is>
          <t>A3 Post-Discovery Filter Policies</t>
        </is>
      </c>
      <c r="C13" s="8" t="inlineStr">
        <is>
          <t>C++</t>
        </is>
      </c>
      <c r="D13" s="8" t="inlineStr">
        <is>
          <t>Part3/strategy-test-filters/cpp/strategy.hpp; Part3/strategy-test-filters/cpp/main.cpp</t>
        </is>
      </c>
      <c r="E13" s="8" t="n">
        <v>122</v>
      </c>
      <c r="F13" s="8" t="n">
        <v>7</v>
      </c>
      <c r="G13" s="8" t="inlineStr">
        <is>
          <t>Apple clang version 21.0.0 (clang-2100.3.34.2), -std=c++20 (no -O flag, as in the README)</t>
        </is>
      </c>
      <c r="H13" s="8" t="inlineStr">
        <is>
          <t>(cd Part3/strategy-test-filters/cpp) clang++ -std=c++20 -Wall -Wextra -pedantic -o strategy main.cpp  &amp;&amp; clang++ -std=c++20 -Wall -Wextra -pedantic -o strategy_test test_main.cpp  &amp;&amp; ./strategy_test</t>
        </is>
      </c>
      <c r="I13" s="8" t="inlineStr">
        <is>
          <t>3/3 passed (Part3/evidence/test_results/Strategy_Cpp.txt)</t>
        </is>
      </c>
      <c r="J13" s="8" t="n">
        <v>5.1</v>
      </c>
      <c r="K13" s="8" t="inlineStr">
        <is>
          <t>TestFilter has pure virtual functions, so a strategy that misses one does not compile; concrete strategies are final. TestSelector borrows the strategy by const&amp;; the strategies are owned by report() as std::unique_ptr&lt;TestFilter&gt; in a vector, so ownership is explicit. Selection uses std::copy_if with a lambda.</t>
        </is>
      </c>
    </row>
    <row r="14">
      <c r="A14" s="8" t="inlineStr">
        <is>
          <t>Adapter</t>
        </is>
      </c>
      <c r="B14" s="8" t="inlineStr">
        <is>
          <t>B7 Engine-to-Launcher Listener Adapter</t>
        </is>
      </c>
      <c r="C14" s="8" t="inlineStr">
        <is>
          <t>Java</t>
        </is>
      </c>
      <c r="D14" s="8" t="inlineStr">
        <is>
          <t>Part3/adapter-listener-bridge/java/src/adapter/AdapterDemo.java; Part3/adapter-listener-bridge/java/src/adapter/EngineListener.java; Part3/adapter-listener-bridge/java/src/adapter/ListenerAdapter.java; Part3/adapter-listener-bridge/java/src/adapter/PrintingTestListener.java; Part3/adapter-listener-bridge/java/src/adapter/TestIdentifier.java; Part3/adapter-listener-bridge/java/src/adapter/TestListener.java</t>
        </is>
      </c>
      <c r="E14" s="8" t="n">
        <v>128</v>
      </c>
      <c r="F14" s="8" t="n">
        <v>10</v>
      </c>
      <c r="G14" s="8" t="inlineStr">
        <is>
          <t>openjdk version "25.0.4.1" 2026-08-18 LTS</t>
        </is>
      </c>
      <c r="H14" s="8" t="inlineStr">
        <is>
          <t>(cd Part3/adapter-listener-bridge/java) javac -d out src/adapter/*.java test/adapter/*.java &amp;&amp; java -cp out adapter.AdapterTest</t>
        </is>
      </c>
      <c r="I14" s="8" t="inlineStr">
        <is>
          <t>3/3 passed (Part3/evidence/test_results/Adapter_Java.txt)</t>
        </is>
      </c>
      <c r="J14" s="8" t="n">
        <v>33.6</v>
      </c>
      <c r="K14" s="8" t="inlineStr">
        <is>
          <t>Target and adaptee are two separate interfaces; the adapter implements the target and holds the adaptee (object adapter), exactly like JUnit's ExecutionListenerAdapter. TestIdentifier is a record, so the test can compare it with equals directly. Unique ids are parsed with java.util.regex.</t>
        </is>
      </c>
    </row>
    <row r="15">
      <c r="A15" s="8" t="inlineStr">
        <is>
          <t>Adapter</t>
        </is>
      </c>
      <c r="B15" s="8" t="inlineStr">
        <is>
          <t>B7 Engine-to-Launcher Listener Adapter</t>
        </is>
      </c>
      <c r="C15" s="8" t="inlineStr">
        <is>
          <t>Python</t>
        </is>
      </c>
      <c r="D15" s="8" t="inlineStr">
        <is>
          <t>Part3/adapter-listener-bridge/python/adapter.py; Part3/adapter-listener-bridge/python/main.py</t>
        </is>
      </c>
      <c r="E15" s="8" t="n">
        <v>82</v>
      </c>
      <c r="F15" s="8" t="n">
        <v>10</v>
      </c>
      <c r="G15" s="8" t="inlineStr">
        <is>
          <t>Python 3.14.2</t>
        </is>
      </c>
      <c r="H15" s="8" t="inlineStr">
        <is>
          <t>(cd Part3/adapter-listener-bridge/python) python3 -m unittest -v test_adapter</t>
        </is>
      </c>
      <c r="I15" s="8" t="inlineStr">
        <is>
          <t>3/3 passed (Part3/evidence/test_results/Adapter_Python.txt)</t>
        </is>
      </c>
      <c r="J15" s="8" t="n">
        <v>21.1</v>
      </c>
      <c r="K15" s="8" t="inlineStr">
        <is>
          <t>The adapter subclasses the target class, but the engine would accept any object with execution_started/execution_finished (duck typing). The parent name is None for the root, so describe() uses a conditional expression. Regular expressions come from the re module.</t>
        </is>
      </c>
    </row>
    <row r="16">
      <c r="A16" s="8" t="inlineStr">
        <is>
          <t>Adapter</t>
        </is>
      </c>
      <c r="B16" s="8" t="inlineStr">
        <is>
          <t>B7 Engine-to-Launcher Listener Adapter</t>
        </is>
      </c>
      <c r="C16" s="8" t="inlineStr">
        <is>
          <t>JavaScript</t>
        </is>
      </c>
      <c r="D16" s="8" t="inlineStr">
        <is>
          <t>Part3/adapter-listener-bridge/javascript/src/adapter.js; Part3/adapter-listener-bridge/javascript/src/main.js</t>
        </is>
      </c>
      <c r="E16" s="8" t="n">
        <v>97</v>
      </c>
      <c r="F16" s="8" t="n">
        <v>9</v>
      </c>
      <c r="G16" s="8" t="inlineStr">
        <is>
          <t>Node.js v26.11.1</t>
        </is>
      </c>
      <c r="H16" s="8" t="inlineStr">
        <is>
          <t>(cd Part3/adapter-listener-bridge/javascript) node --test test/adapter.test.js</t>
        </is>
      </c>
      <c r="I16" s="8" t="inlineStr">
        <is>
          <t>3/3 passed (Part3/evidence/test_results/Adapter_JavaScript.txt)</t>
        </is>
      </c>
      <c r="J16" s="8" t="n">
        <v>92.40000000000001</v>
      </c>
      <c r="K16" s="8" t="inlineStr">
        <is>
          <t>The test passes a plain object with only testFinished as the client listener; the adapter calls only what exists, so duck typing replaces the interface. toIdentifier uses matchAll and Array.prototype.at(-1). The adaptee is a #private field of the adapter.</t>
        </is>
      </c>
    </row>
    <row r="17">
      <c r="A17" s="8" t="inlineStr">
        <is>
          <t>Adapter</t>
        </is>
      </c>
      <c r="B17" s="8" t="inlineStr">
        <is>
          <t>B7 Engine-to-Launcher Listener Adapter</t>
        </is>
      </c>
      <c r="C17" s="8" t="inlineStr">
        <is>
          <t>C++</t>
        </is>
      </c>
      <c r="D17" s="8" t="inlineStr">
        <is>
          <t>Part3/adapter-listener-bridge/cpp/adapter.hpp; Part3/adapter-listener-bridge/cpp/main.cpp</t>
        </is>
      </c>
      <c r="E17" s="8" t="n">
        <v>124</v>
      </c>
      <c r="F17" s="8" t="n">
        <v>12</v>
      </c>
      <c r="G17" s="8" t="inlineStr">
        <is>
          <t>Apple clang version 21.0.0 (clang-2100.3.34.2), -std=c++20 (no -O flag, as in the README)</t>
        </is>
      </c>
      <c r="H17" s="8" t="inlineStr">
        <is>
          <t>(cd Part3/adapter-listener-bridge/cpp) clang++ -std=c++20 -Wall -Wextra -pedantic -o adapter main.cpp  &amp;&amp; clang++ -std=c++20 -Wall -Wextra -pedantic -o adapter_test test_main.cpp  &amp;&amp; ./adapter_test</t>
        </is>
      </c>
      <c r="I17" s="8" t="inlineStr">
        <is>
          <t>3/3 passed (Part3/evidence/test_results/Adapter_Cpp.txt)</t>
        </is>
      </c>
      <c r="J17" s="8" t="n">
        <v>5.9</v>
      </c>
      <c r="K17" s="8" t="inlineStr">
        <is>
          <t>The adapter is a final class that overrides the pure virtual target functions; it holds the adaptee by reference, so it does not own it. The optional parent is a std::optional&lt;std::string&gt; instead of a null value. Unique ids are parsed with std::regex and std::sregex_iterator.</t>
        </is>
      </c>
    </row>
    <row r="18">
      <c r="A18" s="8" t="inlineStr">
        <is>
          <t>Decorator</t>
        </is>
      </c>
      <c r="B18" s="8" t="inlineStr">
        <is>
          <t>D10 Timeout Invocation Wrappers</t>
        </is>
      </c>
      <c r="C18" s="8" t="inlineStr">
        <is>
          <t>Java</t>
        </is>
      </c>
      <c r="D18" s="8" t="inlineStr">
        <is>
          <t>Part3/decorator-timeout-invocation/java/src/decorator/DecoratorDemo.java; Part3/decorator-timeout-invocation/java/src/decorator/Invocation.java; Part3/decorator-timeout-invocation/java/src/decorator/InvocationDecorator.java; Part3/decorator-timeout-invocation/java/src/decorator/LoggingInvocation.java; Part3/decorator-timeout-invocation/java/src/decorator/TestInvocation.java; Part3/decorator-timeout-invocation/java/src/decorator/TimeoutInvocation.java</t>
        </is>
      </c>
      <c r="E18" s="8" t="n">
        <v>128</v>
      </c>
      <c r="F18" s="8" t="n">
        <v>7</v>
      </c>
      <c r="G18" s="8" t="inlineStr">
        <is>
          <t>openjdk version "25.0.4.1" 2026-08-18 LTS</t>
        </is>
      </c>
      <c r="H18" s="8" t="inlineStr">
        <is>
          <t>(cd Part3/decorator-timeout-invocation/java) javac -d out src/decorator/*.java test/decorator/*.java &amp;&amp; java -cp out decorator.DecoratorTest</t>
        </is>
      </c>
      <c r="I18" s="8" t="inlineStr">
        <is>
          <t>3/3 passed (Part3/evidence/test_results/Decorator_Java.txt)</t>
        </is>
      </c>
      <c r="J18" s="8" t="n">
        <v>34.9</v>
      </c>
      <c r="K18" s="8" t="inlineStr">
        <is>
          <t>Decorators and the component share the Invocation interface, so they can be nested in any order; the test shows the opposite nesting (Timeout(Logging(...))). The abstract InvocationDecorator forwards every method, so each concrete decorator overrides only proceed(). The wrapped object is a final field set in the constructor.</t>
        </is>
      </c>
    </row>
    <row r="19">
      <c r="A19" s="8" t="inlineStr">
        <is>
          <t>Decorator</t>
        </is>
      </c>
      <c r="B19" s="8" t="inlineStr">
        <is>
          <t>D10 Timeout Invocation Wrappers</t>
        </is>
      </c>
      <c r="C19" s="8" t="inlineStr">
        <is>
          <t>Python</t>
        </is>
      </c>
      <c r="D19" s="8" t="inlineStr">
        <is>
          <t>Part3/decorator-timeout-invocation/python/decorator.py; Part3/decorator-timeout-invocation/python/main.py</t>
        </is>
      </c>
      <c r="E19" s="8" t="n">
        <v>88</v>
      </c>
      <c r="F19" s="8" t="n">
        <v>7</v>
      </c>
      <c r="G19" s="8" t="inlineStr">
        <is>
          <t>Python 3.14.2</t>
        </is>
      </c>
      <c r="H19" s="8" t="inlineStr">
        <is>
          <t>(cd Part3/decorator-timeout-invocation/python) python3 -m unittest -v test_decorator</t>
        </is>
      </c>
      <c r="I19" s="8" t="inlineStr">
        <is>
          <t>3/3 passed (Part3/evidence/test_results/Decorator_Python.txt)</t>
        </is>
      </c>
      <c r="J19" s="8" t="n">
        <v>21.2</v>
      </c>
      <c r="K19" s="8" t="inlineStr">
        <is>
          <t>Invocation is an ABC with three abstract methods; InvocationDecorator forwards them, as in Java. A decorator here is a class, not Python's @decorator syntax: @ decorates functions at definition time, whereas this pattern wraps objects at run time. The summary keeps insertion order because dict preserves it.</t>
        </is>
      </c>
    </row>
    <row r="20">
      <c r="A20" s="8" t="inlineStr">
        <is>
          <t>Decorator</t>
        </is>
      </c>
      <c r="B20" s="8" t="inlineStr">
        <is>
          <t>D10 Timeout Invocation Wrappers</t>
        </is>
      </c>
      <c r="C20" s="8" t="inlineStr">
        <is>
          <t>JavaScript</t>
        </is>
      </c>
      <c r="D20" s="8" t="inlineStr">
        <is>
          <t>Part3/decorator-timeout-invocation/javascript/src/decorator.js; Part3/decorator-timeout-invocation/javascript/src/main.js</t>
        </is>
      </c>
      <c r="E20" s="8" t="n">
        <v>98</v>
      </c>
      <c r="F20" s="8" t="n">
        <v>6</v>
      </c>
      <c r="G20" s="8" t="inlineStr">
        <is>
          <t>Node.js v26.11.1</t>
        </is>
      </c>
      <c r="H20" s="8" t="inlineStr">
        <is>
          <t>(cd Part3/decorator-timeout-invocation/javascript) node --test test/decorator.test.js</t>
        </is>
      </c>
      <c r="I20" s="8" t="inlineStr">
        <is>
          <t>3/3 passed (Part3/evidence/test_results/Decorator_JavaScript.txt)</t>
        </is>
      </c>
      <c r="J20" s="8" t="n">
        <v>92.7</v>
      </c>
      <c r="K20" s="8" t="inlineStr">
        <is>
          <t>There is no component interface; the decorators forward name and durationMs through getters, so callers cannot tell a decorator from the real invocation. The wrapped object is a public field (inner) so subclasses can reach it; the limit and log are #private. Nesting order is free, as shown in the test.</t>
        </is>
      </c>
    </row>
    <row r="21">
      <c r="A21" s="8" t="inlineStr">
        <is>
          <t>Decorator</t>
        </is>
      </c>
      <c r="B21" s="8" t="inlineStr">
        <is>
          <t>D10 Timeout Invocation Wrappers</t>
        </is>
      </c>
      <c r="C21" s="8" t="inlineStr">
        <is>
          <t>C++</t>
        </is>
      </c>
      <c r="D21" s="8" t="inlineStr">
        <is>
          <t>Part3/decorator-timeout-invocation/cpp/decorator.hpp; Part3/decorator-timeout-invocation/cpp/main.cpp</t>
        </is>
      </c>
      <c r="E21" s="8" t="n">
        <v>132</v>
      </c>
      <c r="F21" s="8" t="n">
        <v>7</v>
      </c>
      <c r="G21" s="8" t="inlineStr">
        <is>
          <t>Apple clang version 21.0.0 (clang-2100.3.34.2), -std=c++20 (no -O flag, as in the README)</t>
        </is>
      </c>
      <c r="H21" s="8" t="inlineStr">
        <is>
          <t>(cd Part3/decorator-timeout-invocation/cpp) clang++ -std=c++20 -Wall -Wextra -pedantic -o decorator main.cpp  &amp;&amp; clang++ -std=c++20 -Wall -Wextra -pedantic -o decorator_test test_main.cpp  &amp;&amp; ./decorator_test</t>
        </is>
      </c>
      <c r="I21" s="8" t="inlineStr">
        <is>
          <t>3/3 passed (Part3/evidence/test_results/Decorator_Cpp.txt)</t>
        </is>
      </c>
      <c r="J21" s="8" t="n">
        <v>5</v>
      </c>
      <c r="K21" s="8" t="inlineStr">
        <is>
          <t>Each decorator owns the object it wraps as std::unique_ptr&lt;Invocation&gt;; building Logging(Timeout(test)) moves ownership inwards, and destroying the outer object frees the whole chain. LoggingInvocation borrows the shared log by reference. override and final let the compiler check every decorator against the component.</t>
        </is>
      </c>
    </row>
    <row r="22">
      <c r="A22" s="8" t="inlineStr">
        <is>
          <t>Template Method</t>
        </is>
      </c>
      <c r="B22" s="8" t="inlineStr">
        <is>
          <t>B1 Hierarchical Engine Execution Skeleton</t>
        </is>
      </c>
      <c r="C22" s="8" t="inlineStr">
        <is>
          <t>Java</t>
        </is>
      </c>
      <c r="D22" s="8" t="inlineStr">
        <is>
          <t>Part3/template-method-engine/java/src/template/LifecycleEngine.java; Part3/template-method-engine/java/src/template/SimpleEngine.java; Part3/template-method-engine/java/src/template/TemplateDemo.java; Part3/template-method-engine/java/src/template/TestEngine.java</t>
        </is>
      </c>
      <c r="E22" s="8" t="n">
        <v>113</v>
      </c>
      <c r="F22" s="8" t="n">
        <v>6</v>
      </c>
      <c r="G22" s="8" t="inlineStr">
        <is>
          <t>openjdk version "25.0.4.1" 2026-08-18 LTS</t>
        </is>
      </c>
      <c r="H22" s="8" t="inlineStr">
        <is>
          <t>(cd Part3/template-method-engine/java) javac -d out src/template/*.java test/template/*.java &amp;&amp; java -cp out template.TemplateTest</t>
        </is>
      </c>
      <c r="I22" s="8" t="inlineStr">
        <is>
          <t>3/3 passed (Part3/evidence/test_results/TemplateMethod_Java.txt)</t>
        </is>
      </c>
      <c r="J22" s="8" t="n">
        <v>36.8</v>
      </c>
      <c r="K22" s="8" t="inlineStr">
        <is>
          <t>execute is final, so a subclass cannot change the order of the steps; this is the language-enforced form of the pattern, as in JUnit (HierarchicalTestEngine.execute is final). runTest is abstract (must be implemented); the hooks are ordinary methods with empty bodies (may be overridden). The test builds a new engine as an anonymous subclass that implements only the primitive.</t>
        </is>
      </c>
    </row>
    <row r="23">
      <c r="A23" s="8" t="inlineStr">
        <is>
          <t>Template Method</t>
        </is>
      </c>
      <c r="B23" s="8" t="inlineStr">
        <is>
          <t>B1 Hierarchical Engine Execution Skeleton</t>
        </is>
      </c>
      <c r="C23" s="8" t="inlineStr">
        <is>
          <t>Python</t>
        </is>
      </c>
      <c r="D23" s="8" t="inlineStr">
        <is>
          <t>Part3/template-method-engine/python/template.py; Part3/template-method-engine/python/main.py</t>
        </is>
      </c>
      <c r="E23" s="8" t="n">
        <v>70</v>
      </c>
      <c r="F23" s="8" t="n">
        <v>6</v>
      </c>
      <c r="G23" s="8" t="inlineStr">
        <is>
          <t>Python 3.14.2</t>
        </is>
      </c>
      <c r="H23" s="8" t="inlineStr">
        <is>
          <t>(cd Part3/template-method-engine/python) python3 -m unittest -v test_template</t>
        </is>
      </c>
      <c r="I23" s="8" t="inlineStr">
        <is>
          <t>3/3 passed (Part3/evidence/test_results/TemplateMethod_Python.txt)</t>
        </is>
      </c>
      <c r="J23" s="8" t="n">
        <v>21.5</v>
      </c>
      <c r="K23" s="8" t="inlineStr">
        <is>
          <t>Python has no final for methods at run time (typing.final is only a hint for type checkers), so the fixed skeleton is a convention. run_test is an @abstractmethod; hooks are normal methods with empty bodies. A subclass could still override execute; nothing stops it.</t>
        </is>
      </c>
    </row>
    <row r="24">
      <c r="A24" s="8" t="inlineStr">
        <is>
          <t>Template Method</t>
        </is>
      </c>
      <c r="B24" s="8" t="inlineStr">
        <is>
          <t>B1 Hierarchical Engine Execution Skeleton</t>
        </is>
      </c>
      <c r="C24" s="8" t="inlineStr">
        <is>
          <t>JavaScript</t>
        </is>
      </c>
      <c r="D24" s="8" t="inlineStr">
        <is>
          <t>Part3/template-method-engine/javascript/src/main.js; Part3/template-method-engine/javascript/src/template.js</t>
        </is>
      </c>
      <c r="E24" s="8" t="n">
        <v>96</v>
      </c>
      <c r="F24" s="8" t="n">
        <v>5</v>
      </c>
      <c r="G24" s="8" t="inlineStr">
        <is>
          <t>Node.js v26.11.1</t>
        </is>
      </c>
      <c r="H24" s="8" t="inlineStr">
        <is>
          <t>(cd Part3/template-method-engine/javascript) node --test test/template.test.js</t>
        </is>
      </c>
      <c r="I24" s="8" t="inlineStr">
        <is>
          <t>3/3 passed (Part3/evidence/test_results/TemplateMethod_JavaScript.txt)</t>
        </is>
      </c>
      <c r="J24" s="8" t="n">
        <v>92.3</v>
      </c>
      <c r="K24" s="8" t="inlineStr">
        <is>
          <t>There is no final and no abstract: the base class throws from name()/runTest() if a subclass forgets them, and overriding execute is only discouraged. Hooks are empty methods, as in the other languages. The test defines a subclass inline with class ... extends TestEngine.</t>
        </is>
      </c>
    </row>
    <row r="25">
      <c r="A25" s="8" t="inlineStr">
        <is>
          <t>Template Method</t>
        </is>
      </c>
      <c r="B25" s="8" t="inlineStr">
        <is>
          <t>B1 Hierarchical Engine Execution Skeleton</t>
        </is>
      </c>
      <c r="C25" s="8" t="inlineStr">
        <is>
          <t>C++</t>
        </is>
      </c>
      <c r="D25" s="8" t="inlineStr">
        <is>
          <t>Part3/template-method-engine/cpp/template.hpp; Part3/template-method-engine/cpp/main.cpp</t>
        </is>
      </c>
      <c r="E25" s="8" t="n">
        <v>114</v>
      </c>
      <c r="F25" s="8" t="n">
        <v>6</v>
      </c>
      <c r="G25" s="8" t="inlineStr">
        <is>
          <t>Apple clang version 21.0.0 (clang-2100.3.34.2), -std=c++20 (no -O flag, as in the README)</t>
        </is>
      </c>
      <c r="H25" s="8" t="inlineStr">
        <is>
          <t>(cd Part3/template-method-engine/cpp) clang++ -std=c++20 -Wall -Wextra -pedantic -o template main.cpp  &amp;&amp; clang++ -std=c++20 -Wall -Wextra -pedantic -o template_test test_main.cpp  &amp;&amp; ./template_test</t>
        </is>
      </c>
      <c r="I25" s="8" t="inlineStr">
        <is>
          <t>3/3 passed (Part3/evidence/test_results/TemplateMethod_Cpp.txt)</t>
        </is>
      </c>
      <c r="J25" s="8" t="n">
        <v>5.1</v>
      </c>
      <c r="K25" s="8" t="inlineStr">
        <is>
          <t>execute is not virtual, so it cannot be overridden polymorphically; the primitive is pure virtual and the hooks are virtual with empty bodies. Primitive and hooks are protected: only the template method calls them, which C++ can express directly. report() uses the two engines through TestEngine*, i.e. dynamic dispatch.</t>
        </is>
      </c>
    </row>
    <row r="26">
      <c r="A26" s="8" t="inlineStr">
        <is>
          <t>Command</t>
        </is>
      </c>
      <c r="B26" s="8" t="inlineStr">
        <is>
          <t>B9 Node Execution Tasks</t>
        </is>
      </c>
      <c r="C26" s="8" t="inlineStr">
        <is>
          <t>Java</t>
        </is>
      </c>
      <c r="D26" s="8" t="inlineStr">
        <is>
          <t>Part3/command-task-queue/java/src/command/Command.java; Part3/command-task-queue/java/src/command/CommandDemo.java; Part3/command-task-queue/java/src/command/NoteCommand.java; Part3/command-task-queue/java/src/command/RunTestCommand.java; Part3/command-task-queue/java/src/command/TaskExecutor.java</t>
        </is>
      </c>
      <c r="E26" s="8" t="n">
        <v>104</v>
      </c>
      <c r="F26" s="8" t="n">
        <v>11</v>
      </c>
      <c r="G26" s="8" t="inlineStr">
        <is>
          <t>openjdk version "25.0.4.1" 2026-08-18 LTS</t>
        </is>
      </c>
      <c r="H26" s="8" t="inlineStr">
        <is>
          <t>(cd Part3/command-task-queue/java) javac -d out src/command/*.java test/command/*.java &amp;&amp; java -cp out command.CommandTest</t>
        </is>
      </c>
      <c r="I26" s="8" t="inlineStr">
        <is>
          <t>3/3 passed (Part3/evidence/test_results/Command_Java.txt)</t>
        </is>
      </c>
      <c r="J26" s="8" t="n">
        <v>34.2</v>
      </c>
      <c r="K26" s="8" t="inlineStr">
        <is>
          <t>Commands are records implementing one interface; the invoker keeps a List&lt;Command&gt; and runs them later, which is what makes execution deferrable (the test checks nothing runs on submit). In Java a lambda could also be a command, because the interface has one method. The queue is cleared after runAll.</t>
        </is>
      </c>
    </row>
    <row r="27">
      <c r="A27" s="8" t="inlineStr">
        <is>
          <t>Command</t>
        </is>
      </c>
      <c r="B27" s="8" t="inlineStr">
        <is>
          <t>B9 Node Execution Tasks</t>
        </is>
      </c>
      <c r="C27" s="8" t="inlineStr">
        <is>
          <t>Python</t>
        </is>
      </c>
      <c r="D27" s="8" t="inlineStr">
        <is>
          <t>Part3/command-task-queue/python/command.py; Part3/command-task-queue/python/main.py</t>
        </is>
      </c>
      <c r="E27" s="8" t="n">
        <v>69</v>
      </c>
      <c r="F27" s="8" t="n">
        <v>10</v>
      </c>
      <c r="G27" s="8" t="inlineStr">
        <is>
          <t>Python 3.14.2</t>
        </is>
      </c>
      <c r="H27" s="8" t="inlineStr">
        <is>
          <t>(cd Part3/command-task-queue/python) python3 -m unittest -v test_command</t>
        </is>
      </c>
      <c r="I27" s="8" t="inlineStr">
        <is>
          <t>3/3 passed (Part3/evidence/test_results/Command_Python.txt)</t>
        </is>
      </c>
      <c r="J27" s="8" t="n">
        <v>21.2</v>
      </c>
      <c r="K27" s="8" t="inlineStr">
        <is>
          <t>Command is an ABC; since Python functions are first-class objects, a plain function or closure could serve as a command too. The invoker returns both the printed lines and how many commands it executed. Commands share the results list passed to execute.</t>
        </is>
      </c>
    </row>
    <row r="28">
      <c r="A28" s="8" t="inlineStr">
        <is>
          <t>Command</t>
        </is>
      </c>
      <c r="B28" s="8" t="inlineStr">
        <is>
          <t>B9 Node Execution Tasks</t>
        </is>
      </c>
      <c r="C28" s="8" t="inlineStr">
        <is>
          <t>JavaScript</t>
        </is>
      </c>
      <c r="D28" s="8" t="inlineStr">
        <is>
          <t>Part3/command-task-queue/javascript/src/command.js; Part3/command-task-queue/javascript/src/main.js</t>
        </is>
      </c>
      <c r="E28" s="8" t="n">
        <v>83</v>
      </c>
      <c r="F28" s="8" t="n">
        <v>10</v>
      </c>
      <c r="G28" s="8" t="inlineStr">
        <is>
          <t>Node.js v26.11.1</t>
        </is>
      </c>
      <c r="H28" s="8" t="inlineStr">
        <is>
          <t>(cd Part3/command-task-queue/javascript) node --test test/command.test.js</t>
        </is>
      </c>
      <c r="I28" s="8" t="inlineStr">
        <is>
          <t>3/3 passed (Part3/evidence/test_results/Command_JavaScript.txt)</t>
        </is>
      </c>
      <c r="J28" s="8" t="n">
        <v>92.59999999999999</v>
      </c>
      <c r="K28" s="8" t="inlineStr">
        <is>
          <t>There is no interface: any object with execute(results) is a command. The executor's queue is a #private field, so commands can only be added through submit. runAll maps the queue to lines in one expression.</t>
        </is>
      </c>
    </row>
    <row r="29">
      <c r="A29" s="8" t="inlineStr">
        <is>
          <t>Command</t>
        </is>
      </c>
      <c r="B29" s="8" t="inlineStr">
        <is>
          <t>B9 Node Execution Tasks</t>
        </is>
      </c>
      <c r="C29" s="8" t="inlineStr">
        <is>
          <t>C++</t>
        </is>
      </c>
      <c r="D29" s="8" t="inlineStr">
        <is>
          <t>Part3/command-task-queue/cpp/command.hpp; Part3/command-task-queue/cpp/main.cpp</t>
        </is>
      </c>
      <c r="E29" s="8" t="n">
        <v>120</v>
      </c>
      <c r="F29" s="8" t="n">
        <v>12</v>
      </c>
      <c r="G29" s="8" t="inlineStr">
        <is>
          <t>Apple clang version 21.0.0 (clang-2100.3.34.2), -std=c++20 (no -O flag, as in the README)</t>
        </is>
      </c>
      <c r="H29" s="8" t="inlineStr">
        <is>
          <t>(cd Part3/command-task-queue/cpp) clang++ -std=c++20 -Wall -Wextra -pedantic -o command main.cpp  &amp;&amp; clang++ -std=c++20 -Wall -Wextra -pedantic -o command_test test_main.cpp  &amp;&amp; ./command_test</t>
        </is>
      </c>
      <c r="I29" s="8" t="inlineStr">
        <is>
          <t>3/3 passed (Part3/evidence/test_results/Command_Cpp.txt)</t>
        </is>
      </c>
      <c r="J29" s="8" t="n">
        <v>5.6</v>
      </c>
      <c r="K29" s="8" t="inlineStr">
        <is>
          <t>The executor owns its commands as std::unique_ptr&lt;Command&gt;; submit takes ownership with std::move, and executed commands are destroyed when the queue is cleared. Commands are polymorphic through the pure virtual execute. std::count computes the passed tests from the results.</t>
        </is>
      </c>
    </row>
    <row r="30">
      <c r="A30" s="8" t="inlineStr">
        <is>
          <t>Null Object</t>
        </is>
      </c>
      <c r="B30" s="8" t="inlineStr">
        <is>
          <t>C7 No-op Listeners</t>
        </is>
      </c>
      <c r="C30" s="8" t="inlineStr">
        <is>
          <t>Java</t>
        </is>
      </c>
      <c r="D30" s="8" t="inlineStr">
        <is>
          <t>Part3/null-object-listener/java/src/nullobject/ConsoleListener.java; Part3/null-object-listener/java/src/nullobject/NullObjectDemo.java; Part3/null-object-listener/java/src/nullobject/TestListener.java; Part3/null-object-listener/java/src/nullobject/TestRunner.java</t>
        </is>
      </c>
      <c r="E30" s="8" t="n">
        <v>98</v>
      </c>
      <c r="F30" s="8" t="n">
        <v>6</v>
      </c>
      <c r="G30" s="8" t="inlineStr">
        <is>
          <t>openjdk version "25.0.4.1" 2026-08-18 LTS</t>
        </is>
      </c>
      <c r="H30" s="8" t="inlineStr">
        <is>
          <t>(cd Part3/null-object-listener/java) javac -d out src/nullobject/*.java test/nullobject/*.java &amp;&amp; java -cp out nullobject.NullObjectTest</t>
        </is>
      </c>
      <c r="I30" s="8" t="inlineStr">
        <is>
          <t>3/3 passed (Part3/evidence/test_results/NullObject_Java.txt)</t>
        </is>
      </c>
      <c r="J30" s="8" t="n">
        <v>32.1</v>
      </c>
      <c r="K30" s="8" t="inlineStr">
        <is>
          <t>The null object is a lambda stored as an interface constant, TestListener.NOOP, exactly where JUnit puts EngineExecutionListener.NOOP. The no-argument constructor delegates to this(TestListener.NOOP), so listener is never null. The test checks identity (==) with the shared constant.</t>
        </is>
      </c>
    </row>
    <row r="31">
      <c r="A31" s="8" t="inlineStr">
        <is>
          <t>Null Object</t>
        </is>
      </c>
      <c r="B31" s="8" t="inlineStr">
        <is>
          <t>C7 No-op Listeners</t>
        </is>
      </c>
      <c r="C31" s="8" t="inlineStr">
        <is>
          <t>Python</t>
        </is>
      </c>
      <c r="D31" s="8" t="inlineStr">
        <is>
          <t>Part3/null-object-listener/python/nullobject.py; Part3/null-object-listener/python/main.py</t>
        </is>
      </c>
      <c r="E31" s="8" t="n">
        <v>57</v>
      </c>
      <c r="F31" s="8" t="n">
        <v>6</v>
      </c>
      <c r="G31" s="8" t="inlineStr">
        <is>
          <t>Python 3.14.2</t>
        </is>
      </c>
      <c r="H31" s="8" t="inlineStr">
        <is>
          <t>(cd Part3/null-object-listener/python) python3 -m unittest -v test_nullobject</t>
        </is>
      </c>
      <c r="I31" s="8" t="inlineStr">
        <is>
          <t>3/3 passed (Part3/evidence/test_results/NullObject_Python.txt)</t>
        </is>
      </c>
      <c r="J31" s="8" t="n">
        <v>21</v>
      </c>
      <c r="K31" s="8" t="inlineStr">
        <is>
          <t>The default argument listener=NOOP is safe here because NOOP is a stateless shared instance (a mutable default would be a bug). None is avoided entirely; the runner just calls the method. The test checks identity with assertIs.</t>
        </is>
      </c>
    </row>
    <row r="32">
      <c r="A32" s="8" t="inlineStr">
        <is>
          <t>Null Object</t>
        </is>
      </c>
      <c r="B32" s="8" t="inlineStr">
        <is>
          <t>C7 No-op Listeners</t>
        </is>
      </c>
      <c r="C32" s="8" t="inlineStr">
        <is>
          <t>JavaScript</t>
        </is>
      </c>
      <c r="D32" s="8" t="inlineStr">
        <is>
          <t>Part3/null-object-listener/javascript/src/main.js; Part3/null-object-listener/javascript/src/nullobject.js</t>
        </is>
      </c>
      <c r="E32" s="8" t="n">
        <v>70</v>
      </c>
      <c r="F32" s="8" t="n">
        <v>5</v>
      </c>
      <c r="G32" s="8" t="inlineStr">
        <is>
          <t>Node.js v26.11.1</t>
        </is>
      </c>
      <c r="H32" s="8" t="inlineStr">
        <is>
          <t>(cd Part3/null-object-listener/javascript) node --test test/nullobject.test.js</t>
        </is>
      </c>
      <c r="I32" s="8" t="inlineStr">
        <is>
          <t>3/3 passed (Part3/evidence/test_results/NullObject_JavaScript.txt)</t>
        </is>
      </c>
      <c r="J32" s="8" t="n">
        <v>91.7</v>
      </c>
      <c r="K32" s="8" t="inlineStr">
        <is>
          <t>NOOP is a frozen object literal, so nobody can add behaviour to the shared instance. A default parameter (listener = NOOP) replaces both null and undefined checks. Any object with testFinished can be a listener.</t>
        </is>
      </c>
    </row>
    <row r="33">
      <c r="A33" s="8" t="inlineStr">
        <is>
          <t>Null Object</t>
        </is>
      </c>
      <c r="B33" s="8" t="inlineStr">
        <is>
          <t>C7 No-op Listeners</t>
        </is>
      </c>
      <c r="C33" s="8" t="inlineStr">
        <is>
          <t>C++</t>
        </is>
      </c>
      <c r="D33" s="8" t="inlineStr">
        <is>
          <t>Part3/null-object-listener/cpp/nullobject.hpp; Part3/null-object-listener/cpp/main.cpp</t>
        </is>
      </c>
      <c r="E33" s="8" t="n">
        <v>110</v>
      </c>
      <c r="F33" s="8" t="n">
        <v>6</v>
      </c>
      <c r="G33" s="8" t="inlineStr">
        <is>
          <t>Apple clang version 21.0.0 (clang-2100.3.34.2), -std=c++20 (no -O flag, as in the README)</t>
        </is>
      </c>
      <c r="H33" s="8" t="inlineStr">
        <is>
          <t>(cd Part3/null-object-listener/cpp) clang++ -std=c++20 -Wall -Wextra -pedantic -o nullobject main.cpp  &amp;&amp; clang++ -std=c++20 -Wall -Wextra -pedantic -o nullobject_test test_main.cpp  &amp;&amp; ./nullobject_test</t>
        </is>
      </c>
      <c r="I33" s="8" t="inlineStr">
        <is>
          <t>3/3 passed (Part3/evidence/test_results/NullObject_Cpp.txt)</t>
        </is>
      </c>
      <c r="J33" s="8" t="n">
        <v>5.4</v>
      </c>
      <c r="K33" s="8" t="inlineStr">
        <is>
          <t>The runner holds a TestListener&amp;; a reference can never be null, so the language itself removes the null check, and the default argument binds it to the singleton NoOpListener::instance(). The null object is a function-local static, created once and never freed explicitly. The test compares addresses to show the null object is used.</t>
        </is>
      </c>
    </row>
    <row r="34">
      <c r="A34" s="8" t="inlineStr">
        <is>
          <t>Chain of Responsibility</t>
        </is>
      </c>
      <c r="B34" s="8" t="inlineStr">
        <is>
          <t>D9 Invocation Interceptor Chain</t>
        </is>
      </c>
      <c r="C34" s="8" t="inlineStr">
        <is>
          <t>Java</t>
        </is>
      </c>
      <c r="D34" s="8" t="inlineStr">
        <is>
          <t>Part3/chain-of-responsibility-interceptors/java/src/chain/ChainDemo.java; Part3/chain-of-responsibility-interceptors/java/src/chain/DisabledInterceptor.java; Part3/chain-of-responsibility-interceptors/java/src/chain/Interceptor.java; Part3/chain-of-responsibility-interceptors/java/src/chain/InterceptorChain.java; Part3/chain-of-responsibility-interceptors/java/src/chain/Invocation.java; Part3/chain-of-responsibility-interceptors/java/src/chain/LoggingInterceptor.java; Part3/chain-of-responsibility-interceptors/java/src/chain/TimeoutInterceptor.java</t>
        </is>
      </c>
      <c r="E34" s="8" t="n">
        <v>142</v>
      </c>
      <c r="F34" s="8" t="n">
        <v>10</v>
      </c>
      <c r="G34" s="8" t="inlineStr">
        <is>
          <t>openjdk version "25.0.4.1" 2026-08-18 LTS</t>
        </is>
      </c>
      <c r="H34" s="8" t="inlineStr">
        <is>
          <t>(cd Part3/chain-of-responsibility-interceptors/java) javac -d out src/chain/*.java test/chain/*.java &amp;&amp; java -cp out chain.ChainTest</t>
        </is>
      </c>
      <c r="I34" s="8" t="inlineStr">
        <is>
          <t>3/3 passed (Part3/evidence/test_results/ChainofResponsibility_Java.txt)</t>
        </is>
      </c>
      <c r="J34" s="8" t="n">
        <v>32</v>
      </c>
      <c r="K34" s="8" t="inlineStr">
        <is>
          <t>A handler receives the request and a proceed callback (Supplier&lt;String&gt;) instead of a fixed next field, so the same handlers can be reordered in any chain. JUnit does the same through Invocation.proceed(), which InvocationInterceptorChain wires to the next interceptor. A handler ends the chain by returning without calling proceed.get() (see DisabledInterceptor). The chain is built recursively in InterceptorChain.link.</t>
        </is>
      </c>
    </row>
    <row r="35">
      <c r="A35" s="8" t="inlineStr">
        <is>
          <t>Chain of Responsibility</t>
        </is>
      </c>
      <c r="B35" s="8" t="inlineStr">
        <is>
          <t>D9 Invocation Interceptor Chain</t>
        </is>
      </c>
      <c r="C35" s="8" t="inlineStr">
        <is>
          <t>Python</t>
        </is>
      </c>
      <c r="D35" s="8" t="inlineStr">
        <is>
          <t>Part3/chain-of-responsibility-interceptors/python/chain.py; Part3/chain-of-responsibility-interceptors/python/main.py</t>
        </is>
      </c>
      <c r="E35" s="8" t="n">
        <v>82</v>
      </c>
      <c r="F35" s="8" t="n">
        <v>9</v>
      </c>
      <c r="G35" s="8" t="inlineStr">
        <is>
          <t>Python 3.14.2</t>
        </is>
      </c>
      <c r="H35" s="8" t="inlineStr">
        <is>
          <t>(cd Part3/chain-of-responsibility-interceptors/python) python3 -m unittest -v test_chain</t>
        </is>
      </c>
      <c r="I35" s="8" t="inlineStr">
        <is>
          <t>3/3 passed (Part3/evidence/test_results/ChainofResponsibility_Python.txt)</t>
        </is>
      </c>
      <c r="J35" s="8" t="n">
        <v>21.5</v>
      </c>
      <c r="K35" s="8" t="inlineStr">
        <is>
          <t>proceed is a lambda closing over the next index, so each link is created on demand. Handlers are classes with an abstract intercept; plain functions would also work. The trace list on the request records which links ran.</t>
        </is>
      </c>
    </row>
    <row r="36">
      <c r="A36" s="8" t="inlineStr">
        <is>
          <t>Chain of Responsibility</t>
        </is>
      </c>
      <c r="B36" s="8" t="inlineStr">
        <is>
          <t>D9 Invocation Interceptor Chain</t>
        </is>
      </c>
      <c r="C36" s="8" t="inlineStr">
        <is>
          <t>JavaScript</t>
        </is>
      </c>
      <c r="D36" s="8" t="inlineStr">
        <is>
          <t>Part3/chain-of-responsibility-interceptors/javascript/src/chain.js; Part3/chain-of-responsibility-interceptors/javascript/src/main.js</t>
        </is>
      </c>
      <c r="E36" s="8" t="n">
        <v>87</v>
      </c>
      <c r="F36" s="8" t="n">
        <v>9</v>
      </c>
      <c r="G36" s="8" t="inlineStr">
        <is>
          <t>Node.js v26.11.1</t>
        </is>
      </c>
      <c r="H36" s="8" t="inlineStr">
        <is>
          <t>(cd Part3/chain-of-responsibility-interceptors/javascript) node --test test/chain.test.js</t>
        </is>
      </c>
      <c r="I36" s="8" t="inlineStr">
        <is>
          <t>3/3 passed (Part3/evidence/test_results/ChainofResponsibility_JavaScript.txt)</t>
        </is>
      </c>
      <c r="J36" s="8" t="n">
        <v>91.40000000000001</v>
      </c>
      <c r="K36" s="8" t="inlineStr">
        <is>
          <t>Handlers are any objects with label and intercept; label is a class field. proceed is an arrow function closing over the next link. The test reorders the chain to show that a handler can stop it early.</t>
        </is>
      </c>
    </row>
    <row r="37">
      <c r="A37" s="8" t="inlineStr">
        <is>
          <t>Chain of Responsibility</t>
        </is>
      </c>
      <c r="B37" s="8" t="inlineStr">
        <is>
          <t>D9 Invocation Interceptor Chain</t>
        </is>
      </c>
      <c r="C37" s="8" t="inlineStr">
        <is>
          <t>C++</t>
        </is>
      </c>
      <c r="D37" s="8" t="inlineStr">
        <is>
          <t>Part3/chain-of-responsibility-interceptors/cpp/chain.hpp; Part3/chain-of-responsibility-interceptors/cpp/main.cpp</t>
        </is>
      </c>
      <c r="E37" s="8" t="n">
        <v>128</v>
      </c>
      <c r="F37" s="8" t="n">
        <v>10</v>
      </c>
      <c r="G37" s="8" t="inlineStr">
        <is>
          <t>Apple clang version 21.0.0 (clang-2100.3.34.2), -std=c++20 (no -O flag, as in the README)</t>
        </is>
      </c>
      <c r="H37" s="8" t="inlineStr">
        <is>
          <t>(cd Part3/chain-of-responsibility-interceptors/cpp) clang++ -std=c++20 -Wall -Wextra -pedantic -o chain main.cpp  &amp;&amp; clang++ -std=c++20 -Wall -Wextra -pedantic -o chain_test test_main.cpp  &amp;&amp; ./chain_test</t>
        </is>
      </c>
      <c r="I37" s="8" t="inlineStr">
        <is>
          <t>3/3 passed (Part3/evidence/test_results/ChainofResponsibility_Cpp.txt)</t>
        </is>
      </c>
      <c r="J37" s="8" t="n">
        <v>5.6</v>
      </c>
      <c r="K37" s="8" t="inlineStr">
        <is>
          <t>proceed is a std::function&lt;std::string()&gt; built from a lambda that captures the chain and request by reference, which is safe because both outlive the call. Handlers are owned by the chain as std::unique_ptr&lt;Interceptor&gt;. run_chain is a recursive function with a default index argument.</t>
        </is>
      </c>
    </row>
    <row r="38">
      <c r="A38" s="8" t="inlineStr">
        <is>
          <t>Factory Method</t>
        </is>
      </c>
      <c r="B38" s="8" t="inlineStr">
        <is>
          <t>B2 Engine Collaborator Factory Methods</t>
        </is>
      </c>
      <c r="C38" s="8" t="inlineStr">
        <is>
          <t>Java</t>
        </is>
      </c>
      <c r="D38" s="8" t="inlineStr">
        <is>
          <t>Part3/factory-method-executors/java/src/factory/Executor.java; Part3/factory-method-executors/java/src/factory/FactoryDemo.java; Part3/factory-method-executors/java/src/factory/PooledEngine.java; Part3/factory-method-executors/java/src/factory/PooledExecutor.java; Part3/factory-method-executors/java/src/factory/SameThreadEngine.java; Part3/factory-method-executors/java/src/factory/SameThreadExecutor.java; Part3/factory-method-executors/java/src/factory/TestEngine.java</t>
        </is>
      </c>
      <c r="E38" s="8" t="n">
        <v>124</v>
      </c>
      <c r="F38" s="8" t="n">
        <v>6</v>
      </c>
      <c r="G38" s="8" t="inlineStr">
        <is>
          <t>openjdk version "25.0.4.1" 2026-08-18 LTS</t>
        </is>
      </c>
      <c r="H38" s="8" t="inlineStr">
        <is>
          <t>(cd Part3/factory-method-executors/java) javac -d out src/factory/*.java test/factory/*.java &amp;&amp; java -cp out factory.FactoryTest</t>
        </is>
      </c>
      <c r="I38" s="8" t="inlineStr">
        <is>
          <t>3/3 passed (Part3/evidence/test_results/FactoryMethod_Java.txt)</t>
        </is>
      </c>
      <c r="J38" s="8" t="n">
        <v>34.4</v>
      </c>
      <c r="K38" s="8" t="inlineStr">
        <is>
          <t>execute is written once in the abstract creator and calls the abstract createExecutor; subclasses only decide which product is created, as JUnit's JupiterTestEngine does. The product is an interface, so execute never names a concrete executor. The test creates a new engine with a 3-worker pool by overriding only the factory method.</t>
        </is>
      </c>
    </row>
    <row r="39">
      <c r="A39" s="8" t="inlineStr">
        <is>
          <t>Factory Method</t>
        </is>
      </c>
      <c r="B39" s="8" t="inlineStr">
        <is>
          <t>B2 Engine Collaborator Factory Methods</t>
        </is>
      </c>
      <c r="C39" s="8" t="inlineStr">
        <is>
          <t>Python</t>
        </is>
      </c>
      <c r="D39" s="8" t="inlineStr">
        <is>
          <t>Part3/factory-method-executors/python/factory.py; Part3/factory-method-executors/python/main.py</t>
        </is>
      </c>
      <c r="E39" s="8" t="n">
        <v>74</v>
      </c>
      <c r="F39" s="8" t="n">
        <v>6</v>
      </c>
      <c r="G39" s="8" t="inlineStr">
        <is>
          <t>Python 3.14.2</t>
        </is>
      </c>
      <c r="H39" s="8" t="inlineStr">
        <is>
          <t>(cd Part3/factory-method-executors/python) python3 -m unittest -v test_factory</t>
        </is>
      </c>
      <c r="I39" s="8" t="inlineStr">
        <is>
          <t>3/3 passed (Part3/evidence/test_results/FactoryMethod_Python.txt)</t>
        </is>
      </c>
      <c r="J39" s="8" t="n">
        <v>21.5</v>
      </c>
      <c r="K39" s="8" t="inlineStr">
        <is>
          <t>create_executor is an @abstractmethod; Python classes are also callable factories, so an engine could store a class instead, but the subclass form matches the pattern. The product is an ABC with describe and run. execute returns plain lines so all languages can compare them.</t>
        </is>
      </c>
    </row>
    <row r="40">
      <c r="A40" s="8" t="inlineStr">
        <is>
          <t>Factory Method</t>
        </is>
      </c>
      <c r="B40" s="8" t="inlineStr">
        <is>
          <t>B2 Engine Collaborator Factory Methods</t>
        </is>
      </c>
      <c r="C40" s="8" t="inlineStr">
        <is>
          <t>JavaScript</t>
        </is>
      </c>
      <c r="D40" s="8" t="inlineStr">
        <is>
          <t>Part3/factory-method-executors/javascript/src/factory.js; Part3/factory-method-executors/javascript/src/main.js</t>
        </is>
      </c>
      <c r="E40" s="8" t="n">
        <v>95</v>
      </c>
      <c r="F40" s="8" t="n">
        <v>5</v>
      </c>
      <c r="G40" s="8" t="inlineStr">
        <is>
          <t>Node.js v26.11.1</t>
        </is>
      </c>
      <c r="H40" s="8" t="inlineStr">
        <is>
          <t>(cd Part3/factory-method-executors/javascript) node --test test/factory.test.js</t>
        </is>
      </c>
      <c r="I40" s="8" t="inlineStr">
        <is>
          <t>3/3 passed (Part3/evidence/test_results/FactoryMethod_JavaScript.txt)</t>
        </is>
      </c>
      <c r="J40" s="8" t="n">
        <v>92.8</v>
      </c>
      <c r="K40" s="8" t="inlineStr">
        <is>
          <t>The creator throws if createExecutor() is not overridden (no abstract in the language). Executors are any objects with describe and run. report uses flatMap over the two engines.</t>
        </is>
      </c>
    </row>
    <row r="41">
      <c r="A41" s="8" t="inlineStr">
        <is>
          <t>Factory Method</t>
        </is>
      </c>
      <c r="B41" s="8" t="inlineStr">
        <is>
          <t>B2 Engine Collaborator Factory Methods</t>
        </is>
      </c>
      <c r="C41" s="8" t="inlineStr">
        <is>
          <t>C++</t>
        </is>
      </c>
      <c r="D41" s="8" t="inlineStr">
        <is>
          <t>Part3/factory-method-executors/cpp/factory.hpp; Part3/factory-method-executors/cpp/main.cpp</t>
        </is>
      </c>
      <c r="E41" s="8" t="n">
        <v>128</v>
      </c>
      <c r="F41" s="8" t="n">
        <v>6</v>
      </c>
      <c r="G41" s="8" t="inlineStr">
        <is>
          <t>Apple clang version 21.0.0 (clang-2100.3.34.2), -std=c++20 (no -O flag, as in the README)</t>
        </is>
      </c>
      <c r="H41" s="8" t="inlineStr">
        <is>
          <t>(cd Part3/factory-method-executors/cpp) clang++ -std=c++20 -Wall -Wextra -pedantic -o factory main.cpp  &amp;&amp; clang++ -std=c++20 -Wall -Wextra -pedantic -o factory_test test_main.cpp  &amp;&amp; ./factory_test</t>
        </is>
      </c>
      <c r="I41" s="8" t="inlineStr">
        <is>
          <t>3/3 passed (Part3/evidence/test_results/FactoryMethod_Cpp.txt)</t>
        </is>
      </c>
      <c r="J41" s="8" t="n">
        <v>4.8</v>
      </c>
      <c r="K41" s="8" t="inlineStr">
        <is>
          <t>The factory method returns std::unique_ptr&lt;Executor&gt;, so the caller (execute) owns the product and it is freed when execute returns. Factory method and product are pure virtual; create_executor is protected because only execute should call it. Engines are temporaries in report.</t>
        </is>
      </c>
    </row>
    <row r="43">
      <c r="A43" s="5" t="inlineStr">
        <is>
          <t>Source: Part 3, measured on my Mac (Part3/measure.py)</t>
        </is>
      </c>
    </row>
  </sheetData>
  <autoFilter ref="A1:K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3"/>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0" customWidth="1" min="3" max="3"/>
    <col width="12" customWidth="1" min="4" max="4"/>
  </cols>
  <sheetData>
    <row r="1">
      <c r="A1" s="7" t="inlineStr">
        <is>
          <t>problem</t>
        </is>
      </c>
      <c r="B1" s="7" t="inlineStr">
        <is>
          <t>language</t>
        </is>
      </c>
      <c r="C1" s="7" t="inlineStr">
        <is>
          <t>run</t>
        </is>
      </c>
      <c r="D1" s="7" t="inlineStr">
        <is>
          <t>elapsed_ms</t>
        </is>
      </c>
    </row>
    <row r="2">
      <c r="A2" s="8" t="inlineStr">
        <is>
          <t>observer-test-listeners</t>
        </is>
      </c>
      <c r="B2" s="8" t="inlineStr">
        <is>
          <t>java</t>
        </is>
      </c>
      <c r="C2" s="8" t="inlineStr">
        <is>
          <t>warmup</t>
        </is>
      </c>
      <c r="D2" s="8" t="n">
        <v>35.54</v>
      </c>
    </row>
    <row r="3">
      <c r="A3" s="8" t="inlineStr">
        <is>
          <t>observer-test-listeners</t>
        </is>
      </c>
      <c r="B3" s="8" t="inlineStr">
        <is>
          <t>java</t>
        </is>
      </c>
      <c r="C3" s="8" t="inlineStr">
        <is>
          <t>run1</t>
        </is>
      </c>
      <c r="D3" s="8" t="n">
        <v>35.84</v>
      </c>
    </row>
    <row r="4">
      <c r="A4" s="8" t="inlineStr">
        <is>
          <t>observer-test-listeners</t>
        </is>
      </c>
      <c r="B4" s="8" t="inlineStr">
        <is>
          <t>java</t>
        </is>
      </c>
      <c r="C4" s="8" t="inlineStr">
        <is>
          <t>run2</t>
        </is>
      </c>
      <c r="D4" s="8" t="n">
        <v>35.81</v>
      </c>
    </row>
    <row r="5">
      <c r="A5" s="8" t="inlineStr">
        <is>
          <t>observer-test-listeners</t>
        </is>
      </c>
      <c r="B5" s="8" t="inlineStr">
        <is>
          <t>java</t>
        </is>
      </c>
      <c r="C5" s="8" t="inlineStr">
        <is>
          <t>run3</t>
        </is>
      </c>
      <c r="D5" s="8" t="n">
        <v>38.54</v>
      </c>
    </row>
    <row r="6">
      <c r="A6" s="8" t="inlineStr">
        <is>
          <t>observer-test-listeners</t>
        </is>
      </c>
      <c r="B6" s="8" t="inlineStr">
        <is>
          <t>java</t>
        </is>
      </c>
      <c r="C6" s="8" t="inlineStr">
        <is>
          <t>run4</t>
        </is>
      </c>
      <c r="D6" s="8" t="n">
        <v>36.7</v>
      </c>
    </row>
    <row r="7">
      <c r="A7" s="8" t="inlineStr">
        <is>
          <t>observer-test-listeners</t>
        </is>
      </c>
      <c r="B7" s="8" t="inlineStr">
        <is>
          <t>java</t>
        </is>
      </c>
      <c r="C7" s="8" t="inlineStr">
        <is>
          <t>run5</t>
        </is>
      </c>
      <c r="D7" s="8" t="n">
        <v>35.96</v>
      </c>
    </row>
    <row r="8">
      <c r="A8" s="8" t="inlineStr">
        <is>
          <t>observer-test-listeners</t>
        </is>
      </c>
      <c r="B8" s="8" t="inlineStr">
        <is>
          <t>python</t>
        </is>
      </c>
      <c r="C8" s="8" t="inlineStr">
        <is>
          <t>warmup</t>
        </is>
      </c>
      <c r="D8" s="8" t="n">
        <v>21.42</v>
      </c>
    </row>
    <row r="9">
      <c r="A9" s="8" t="inlineStr">
        <is>
          <t>observer-test-listeners</t>
        </is>
      </c>
      <c r="B9" s="8" t="inlineStr">
        <is>
          <t>python</t>
        </is>
      </c>
      <c r="C9" s="8" t="inlineStr">
        <is>
          <t>run1</t>
        </is>
      </c>
      <c r="D9" s="8" t="n">
        <v>21.81</v>
      </c>
    </row>
    <row r="10">
      <c r="A10" s="8" t="inlineStr">
        <is>
          <t>observer-test-listeners</t>
        </is>
      </c>
      <c r="B10" s="8" t="inlineStr">
        <is>
          <t>python</t>
        </is>
      </c>
      <c r="C10" s="8" t="inlineStr">
        <is>
          <t>run2</t>
        </is>
      </c>
      <c r="D10" s="8" t="n">
        <v>21.81</v>
      </c>
    </row>
    <row r="11">
      <c r="A11" s="8" t="inlineStr">
        <is>
          <t>observer-test-listeners</t>
        </is>
      </c>
      <c r="B11" s="8" t="inlineStr">
        <is>
          <t>python</t>
        </is>
      </c>
      <c r="C11" s="8" t="inlineStr">
        <is>
          <t>run3</t>
        </is>
      </c>
      <c r="D11" s="8" t="n">
        <v>21.87</v>
      </c>
    </row>
    <row r="12">
      <c r="A12" s="8" t="inlineStr">
        <is>
          <t>observer-test-listeners</t>
        </is>
      </c>
      <c r="B12" s="8" t="inlineStr">
        <is>
          <t>python</t>
        </is>
      </c>
      <c r="C12" s="8" t="inlineStr">
        <is>
          <t>run4</t>
        </is>
      </c>
      <c r="D12" s="8" t="n">
        <v>21.76</v>
      </c>
    </row>
    <row r="13">
      <c r="A13" s="8" t="inlineStr">
        <is>
          <t>observer-test-listeners</t>
        </is>
      </c>
      <c r="B13" s="8" t="inlineStr">
        <is>
          <t>python</t>
        </is>
      </c>
      <c r="C13" s="8" t="inlineStr">
        <is>
          <t>run5</t>
        </is>
      </c>
      <c r="D13" s="8" t="n">
        <v>21.54</v>
      </c>
    </row>
    <row r="14">
      <c r="A14" s="8" t="inlineStr">
        <is>
          <t>observer-test-listeners</t>
        </is>
      </c>
      <c r="B14" s="8" t="inlineStr">
        <is>
          <t>javascript</t>
        </is>
      </c>
      <c r="C14" s="8" t="inlineStr">
        <is>
          <t>warmup</t>
        </is>
      </c>
      <c r="D14" s="8" t="n">
        <v>91.70999999999999</v>
      </c>
    </row>
    <row r="15">
      <c r="A15" s="8" t="inlineStr">
        <is>
          <t>observer-test-listeners</t>
        </is>
      </c>
      <c r="B15" s="8" t="inlineStr">
        <is>
          <t>javascript</t>
        </is>
      </c>
      <c r="C15" s="8" t="inlineStr">
        <is>
          <t>run1</t>
        </is>
      </c>
      <c r="D15" s="8" t="n">
        <v>92.73</v>
      </c>
    </row>
    <row r="16">
      <c r="A16" s="8" t="inlineStr">
        <is>
          <t>observer-test-listeners</t>
        </is>
      </c>
      <c r="B16" s="8" t="inlineStr">
        <is>
          <t>javascript</t>
        </is>
      </c>
      <c r="C16" s="8" t="inlineStr">
        <is>
          <t>run2</t>
        </is>
      </c>
      <c r="D16" s="8" t="n">
        <v>93.66</v>
      </c>
    </row>
    <row r="17">
      <c r="A17" s="8" t="inlineStr">
        <is>
          <t>observer-test-listeners</t>
        </is>
      </c>
      <c r="B17" s="8" t="inlineStr">
        <is>
          <t>javascript</t>
        </is>
      </c>
      <c r="C17" s="8" t="inlineStr">
        <is>
          <t>run3</t>
        </is>
      </c>
      <c r="D17" s="8" t="n">
        <v>93.19</v>
      </c>
    </row>
    <row r="18">
      <c r="A18" s="8" t="inlineStr">
        <is>
          <t>observer-test-listeners</t>
        </is>
      </c>
      <c r="B18" s="8" t="inlineStr">
        <is>
          <t>javascript</t>
        </is>
      </c>
      <c r="C18" s="8" t="inlineStr">
        <is>
          <t>run4</t>
        </is>
      </c>
      <c r="D18" s="8" t="n">
        <v>91.48999999999999</v>
      </c>
    </row>
    <row r="19">
      <c r="A19" s="8" t="inlineStr">
        <is>
          <t>observer-test-listeners</t>
        </is>
      </c>
      <c r="B19" s="8" t="inlineStr">
        <is>
          <t>javascript</t>
        </is>
      </c>
      <c r="C19" s="8" t="inlineStr">
        <is>
          <t>run5</t>
        </is>
      </c>
      <c r="D19" s="8" t="n">
        <v>93.25</v>
      </c>
    </row>
    <row r="20">
      <c r="A20" s="8" t="inlineStr">
        <is>
          <t>observer-test-listeners</t>
        </is>
      </c>
      <c r="B20" s="8" t="inlineStr">
        <is>
          <t>cpp</t>
        </is>
      </c>
      <c r="C20" s="8" t="inlineStr">
        <is>
          <t>warmup</t>
        </is>
      </c>
      <c r="D20" s="8" t="n">
        <v>6.1</v>
      </c>
    </row>
    <row r="21">
      <c r="A21" s="8" t="inlineStr">
        <is>
          <t>observer-test-listeners</t>
        </is>
      </c>
      <c r="B21" s="8" t="inlineStr">
        <is>
          <t>cpp</t>
        </is>
      </c>
      <c r="C21" s="8" t="inlineStr">
        <is>
          <t>run1</t>
        </is>
      </c>
      <c r="D21" s="8" t="n">
        <v>5.67</v>
      </c>
    </row>
    <row r="22">
      <c r="A22" s="8" t="inlineStr">
        <is>
          <t>observer-test-listeners</t>
        </is>
      </c>
      <c r="B22" s="8" t="inlineStr">
        <is>
          <t>cpp</t>
        </is>
      </c>
      <c r="C22" s="8" t="inlineStr">
        <is>
          <t>run2</t>
        </is>
      </c>
      <c r="D22" s="8" t="n">
        <v>5.16</v>
      </c>
    </row>
    <row r="23">
      <c r="A23" s="8" t="inlineStr">
        <is>
          <t>observer-test-listeners</t>
        </is>
      </c>
      <c r="B23" s="8" t="inlineStr">
        <is>
          <t>cpp</t>
        </is>
      </c>
      <c r="C23" s="8" t="inlineStr">
        <is>
          <t>run3</t>
        </is>
      </c>
      <c r="D23" s="8" t="n">
        <v>5.09</v>
      </c>
    </row>
    <row r="24">
      <c r="A24" s="8" t="inlineStr">
        <is>
          <t>observer-test-listeners</t>
        </is>
      </c>
      <c r="B24" s="8" t="inlineStr">
        <is>
          <t>cpp</t>
        </is>
      </c>
      <c r="C24" s="8" t="inlineStr">
        <is>
          <t>run4</t>
        </is>
      </c>
      <c r="D24" s="8" t="n">
        <v>4.87</v>
      </c>
    </row>
    <row r="25">
      <c r="A25" s="8" t="inlineStr">
        <is>
          <t>observer-test-listeners</t>
        </is>
      </c>
      <c r="B25" s="8" t="inlineStr">
        <is>
          <t>cpp</t>
        </is>
      </c>
      <c r="C25" s="8" t="inlineStr">
        <is>
          <t>run5</t>
        </is>
      </c>
      <c r="D25" s="8" t="n">
        <v>4.72</v>
      </c>
    </row>
    <row r="26">
      <c r="A26" s="8" t="inlineStr">
        <is>
          <t>composite-test-tree</t>
        </is>
      </c>
      <c r="B26" s="8" t="inlineStr">
        <is>
          <t>java</t>
        </is>
      </c>
      <c r="C26" s="8" t="inlineStr">
        <is>
          <t>warmup</t>
        </is>
      </c>
      <c r="D26" s="8" t="n">
        <v>34.78</v>
      </c>
    </row>
    <row r="27">
      <c r="A27" s="8" t="inlineStr">
        <is>
          <t>composite-test-tree</t>
        </is>
      </c>
      <c r="B27" s="8" t="inlineStr">
        <is>
          <t>java</t>
        </is>
      </c>
      <c r="C27" s="8" t="inlineStr">
        <is>
          <t>run1</t>
        </is>
      </c>
      <c r="D27" s="8" t="n">
        <v>33.91</v>
      </c>
    </row>
    <row r="28">
      <c r="A28" s="8" t="inlineStr">
        <is>
          <t>composite-test-tree</t>
        </is>
      </c>
      <c r="B28" s="8" t="inlineStr">
        <is>
          <t>java</t>
        </is>
      </c>
      <c r="C28" s="8" t="inlineStr">
        <is>
          <t>run2</t>
        </is>
      </c>
      <c r="D28" s="8" t="n">
        <v>34.03</v>
      </c>
    </row>
    <row r="29">
      <c r="A29" s="8" t="inlineStr">
        <is>
          <t>composite-test-tree</t>
        </is>
      </c>
      <c r="B29" s="8" t="inlineStr">
        <is>
          <t>java</t>
        </is>
      </c>
      <c r="C29" s="8" t="inlineStr">
        <is>
          <t>run3</t>
        </is>
      </c>
      <c r="D29" s="8" t="n">
        <v>34.27</v>
      </c>
    </row>
    <row r="30">
      <c r="A30" s="8" t="inlineStr">
        <is>
          <t>composite-test-tree</t>
        </is>
      </c>
      <c r="B30" s="8" t="inlineStr">
        <is>
          <t>java</t>
        </is>
      </c>
      <c r="C30" s="8" t="inlineStr">
        <is>
          <t>run4</t>
        </is>
      </c>
      <c r="D30" s="8" t="n">
        <v>33.53</v>
      </c>
    </row>
    <row r="31">
      <c r="A31" s="8" t="inlineStr">
        <is>
          <t>composite-test-tree</t>
        </is>
      </c>
      <c r="B31" s="8" t="inlineStr">
        <is>
          <t>java</t>
        </is>
      </c>
      <c r="C31" s="8" t="inlineStr">
        <is>
          <t>run5</t>
        </is>
      </c>
      <c r="D31" s="8" t="n">
        <v>34.63</v>
      </c>
    </row>
    <row r="32">
      <c r="A32" s="8" t="inlineStr">
        <is>
          <t>composite-test-tree</t>
        </is>
      </c>
      <c r="B32" s="8" t="inlineStr">
        <is>
          <t>python</t>
        </is>
      </c>
      <c r="C32" s="8" t="inlineStr">
        <is>
          <t>warmup</t>
        </is>
      </c>
      <c r="D32" s="8" t="n">
        <v>21.79</v>
      </c>
    </row>
    <row r="33">
      <c r="A33" s="8" t="inlineStr">
        <is>
          <t>composite-test-tree</t>
        </is>
      </c>
      <c r="B33" s="8" t="inlineStr">
        <is>
          <t>python</t>
        </is>
      </c>
      <c r="C33" s="8" t="inlineStr">
        <is>
          <t>run1</t>
        </is>
      </c>
      <c r="D33" s="8" t="n">
        <v>21.79</v>
      </c>
    </row>
    <row r="34">
      <c r="A34" s="8" t="inlineStr">
        <is>
          <t>composite-test-tree</t>
        </is>
      </c>
      <c r="B34" s="8" t="inlineStr">
        <is>
          <t>python</t>
        </is>
      </c>
      <c r="C34" s="8" t="inlineStr">
        <is>
          <t>run2</t>
        </is>
      </c>
      <c r="D34" s="8" t="n">
        <v>21.36</v>
      </c>
    </row>
    <row r="35">
      <c r="A35" s="8" t="inlineStr">
        <is>
          <t>composite-test-tree</t>
        </is>
      </c>
      <c r="B35" s="8" t="inlineStr">
        <is>
          <t>python</t>
        </is>
      </c>
      <c r="C35" s="8" t="inlineStr">
        <is>
          <t>run3</t>
        </is>
      </c>
      <c r="D35" s="8" t="n">
        <v>21.51</v>
      </c>
    </row>
    <row r="36">
      <c r="A36" s="8" t="inlineStr">
        <is>
          <t>composite-test-tree</t>
        </is>
      </c>
      <c r="B36" s="8" t="inlineStr">
        <is>
          <t>python</t>
        </is>
      </c>
      <c r="C36" s="8" t="inlineStr">
        <is>
          <t>run4</t>
        </is>
      </c>
      <c r="D36" s="8" t="n">
        <v>21.65</v>
      </c>
    </row>
    <row r="37">
      <c r="A37" s="8" t="inlineStr">
        <is>
          <t>composite-test-tree</t>
        </is>
      </c>
      <c r="B37" s="8" t="inlineStr">
        <is>
          <t>python</t>
        </is>
      </c>
      <c r="C37" s="8" t="inlineStr">
        <is>
          <t>run5</t>
        </is>
      </c>
      <c r="D37" s="8" t="n">
        <v>21.75</v>
      </c>
    </row>
    <row r="38">
      <c r="A38" s="8" t="inlineStr">
        <is>
          <t>composite-test-tree</t>
        </is>
      </c>
      <c r="B38" s="8" t="inlineStr">
        <is>
          <t>javascript</t>
        </is>
      </c>
      <c r="C38" s="8" t="inlineStr">
        <is>
          <t>warmup</t>
        </is>
      </c>
      <c r="D38" s="8" t="n">
        <v>91.83</v>
      </c>
    </row>
    <row r="39">
      <c r="A39" s="8" t="inlineStr">
        <is>
          <t>composite-test-tree</t>
        </is>
      </c>
      <c r="B39" s="8" t="inlineStr">
        <is>
          <t>javascript</t>
        </is>
      </c>
      <c r="C39" s="8" t="inlineStr">
        <is>
          <t>run1</t>
        </is>
      </c>
      <c r="D39" s="8" t="n">
        <v>92.04000000000001</v>
      </c>
    </row>
    <row r="40">
      <c r="A40" s="8" t="inlineStr">
        <is>
          <t>composite-test-tree</t>
        </is>
      </c>
      <c r="B40" s="8" t="inlineStr">
        <is>
          <t>javascript</t>
        </is>
      </c>
      <c r="C40" s="8" t="inlineStr">
        <is>
          <t>run2</t>
        </is>
      </c>
      <c r="D40" s="8" t="n">
        <v>94.23999999999999</v>
      </c>
    </row>
    <row r="41">
      <c r="A41" s="8" t="inlineStr">
        <is>
          <t>composite-test-tree</t>
        </is>
      </c>
      <c r="B41" s="8" t="inlineStr">
        <is>
          <t>javascript</t>
        </is>
      </c>
      <c r="C41" s="8" t="inlineStr">
        <is>
          <t>run3</t>
        </is>
      </c>
      <c r="D41" s="8" t="n">
        <v>92.56999999999999</v>
      </c>
    </row>
    <row r="42">
      <c r="A42" s="8" t="inlineStr">
        <is>
          <t>composite-test-tree</t>
        </is>
      </c>
      <c r="B42" s="8" t="inlineStr">
        <is>
          <t>javascript</t>
        </is>
      </c>
      <c r="C42" s="8" t="inlineStr">
        <is>
          <t>run4</t>
        </is>
      </c>
      <c r="D42" s="8" t="n">
        <v>92.17</v>
      </c>
    </row>
    <row r="43">
      <c r="A43" s="8" t="inlineStr">
        <is>
          <t>composite-test-tree</t>
        </is>
      </c>
      <c r="B43" s="8" t="inlineStr">
        <is>
          <t>javascript</t>
        </is>
      </c>
      <c r="C43" s="8" t="inlineStr">
        <is>
          <t>run5</t>
        </is>
      </c>
      <c r="D43" s="8" t="n">
        <v>91.18000000000001</v>
      </c>
    </row>
    <row r="44">
      <c r="A44" s="8" t="inlineStr">
        <is>
          <t>composite-test-tree</t>
        </is>
      </c>
      <c r="B44" s="8" t="inlineStr">
        <is>
          <t>cpp</t>
        </is>
      </c>
      <c r="C44" s="8" t="inlineStr">
        <is>
          <t>warmup</t>
        </is>
      </c>
      <c r="D44" s="8" t="n">
        <v>6.19</v>
      </c>
    </row>
    <row r="45">
      <c r="A45" s="8" t="inlineStr">
        <is>
          <t>composite-test-tree</t>
        </is>
      </c>
      <c r="B45" s="8" t="inlineStr">
        <is>
          <t>cpp</t>
        </is>
      </c>
      <c r="C45" s="8" t="inlineStr">
        <is>
          <t>run1</t>
        </is>
      </c>
      <c r="D45" s="8" t="n">
        <v>5.34</v>
      </c>
    </row>
    <row r="46">
      <c r="A46" s="8" t="inlineStr">
        <is>
          <t>composite-test-tree</t>
        </is>
      </c>
      <c r="B46" s="8" t="inlineStr">
        <is>
          <t>cpp</t>
        </is>
      </c>
      <c r="C46" s="8" t="inlineStr">
        <is>
          <t>run2</t>
        </is>
      </c>
      <c r="D46" s="8" t="n">
        <v>5.06</v>
      </c>
    </row>
    <row r="47">
      <c r="A47" s="8" t="inlineStr">
        <is>
          <t>composite-test-tree</t>
        </is>
      </c>
      <c r="B47" s="8" t="inlineStr">
        <is>
          <t>cpp</t>
        </is>
      </c>
      <c r="C47" s="8" t="inlineStr">
        <is>
          <t>run3</t>
        </is>
      </c>
      <c r="D47" s="8" t="n">
        <v>5.53</v>
      </c>
    </row>
    <row r="48">
      <c r="A48" s="8" t="inlineStr">
        <is>
          <t>composite-test-tree</t>
        </is>
      </c>
      <c r="B48" s="8" t="inlineStr">
        <is>
          <t>cpp</t>
        </is>
      </c>
      <c r="C48" s="8" t="inlineStr">
        <is>
          <t>run4</t>
        </is>
      </c>
      <c r="D48" s="8" t="n">
        <v>4.79</v>
      </c>
    </row>
    <row r="49">
      <c r="A49" s="8" t="inlineStr">
        <is>
          <t>composite-test-tree</t>
        </is>
      </c>
      <c r="B49" s="8" t="inlineStr">
        <is>
          <t>cpp</t>
        </is>
      </c>
      <c r="C49" s="8" t="inlineStr">
        <is>
          <t>run5</t>
        </is>
      </c>
      <c r="D49" s="8" t="n">
        <v>4.83</v>
      </c>
    </row>
    <row r="50">
      <c r="A50" s="8" t="inlineStr">
        <is>
          <t>strategy-test-filters</t>
        </is>
      </c>
      <c r="B50" s="8" t="inlineStr">
        <is>
          <t>java</t>
        </is>
      </c>
      <c r="C50" s="8" t="inlineStr">
        <is>
          <t>warmup</t>
        </is>
      </c>
      <c r="D50" s="8" t="n">
        <v>32.53</v>
      </c>
    </row>
    <row r="51">
      <c r="A51" s="8" t="inlineStr">
        <is>
          <t>strategy-test-filters</t>
        </is>
      </c>
      <c r="B51" s="8" t="inlineStr">
        <is>
          <t>java</t>
        </is>
      </c>
      <c r="C51" s="8" t="inlineStr">
        <is>
          <t>run1</t>
        </is>
      </c>
      <c r="D51" s="8" t="n">
        <v>32.86</v>
      </c>
    </row>
    <row r="52">
      <c r="A52" s="8" t="inlineStr">
        <is>
          <t>strategy-test-filters</t>
        </is>
      </c>
      <c r="B52" s="8" t="inlineStr">
        <is>
          <t>java</t>
        </is>
      </c>
      <c r="C52" s="8" t="inlineStr">
        <is>
          <t>run2</t>
        </is>
      </c>
      <c r="D52" s="8" t="n">
        <v>32.67</v>
      </c>
    </row>
    <row r="53">
      <c r="A53" s="8" t="inlineStr">
        <is>
          <t>strategy-test-filters</t>
        </is>
      </c>
      <c r="B53" s="8" t="inlineStr">
        <is>
          <t>java</t>
        </is>
      </c>
      <c r="C53" s="8" t="inlineStr">
        <is>
          <t>run3</t>
        </is>
      </c>
      <c r="D53" s="8" t="n">
        <v>32.79</v>
      </c>
    </row>
    <row r="54">
      <c r="A54" s="8" t="inlineStr">
        <is>
          <t>strategy-test-filters</t>
        </is>
      </c>
      <c r="B54" s="8" t="inlineStr">
        <is>
          <t>java</t>
        </is>
      </c>
      <c r="C54" s="8" t="inlineStr">
        <is>
          <t>run4</t>
        </is>
      </c>
      <c r="D54" s="8" t="n">
        <v>32.79</v>
      </c>
    </row>
    <row r="55">
      <c r="A55" s="8" t="inlineStr">
        <is>
          <t>strategy-test-filters</t>
        </is>
      </c>
      <c r="B55" s="8" t="inlineStr">
        <is>
          <t>java</t>
        </is>
      </c>
      <c r="C55" s="8" t="inlineStr">
        <is>
          <t>run5</t>
        </is>
      </c>
      <c r="D55" s="8" t="n">
        <v>32.97</v>
      </c>
    </row>
    <row r="56">
      <c r="A56" s="8" t="inlineStr">
        <is>
          <t>strategy-test-filters</t>
        </is>
      </c>
      <c r="B56" s="8" t="inlineStr">
        <is>
          <t>python</t>
        </is>
      </c>
      <c r="C56" s="8" t="inlineStr">
        <is>
          <t>warmup</t>
        </is>
      </c>
      <c r="D56" s="8" t="n">
        <v>21.36</v>
      </c>
    </row>
    <row r="57">
      <c r="A57" s="8" t="inlineStr">
        <is>
          <t>strategy-test-filters</t>
        </is>
      </c>
      <c r="B57" s="8" t="inlineStr">
        <is>
          <t>python</t>
        </is>
      </c>
      <c r="C57" s="8" t="inlineStr">
        <is>
          <t>run1</t>
        </is>
      </c>
      <c r="D57" s="8" t="n">
        <v>21.19</v>
      </c>
    </row>
    <row r="58">
      <c r="A58" s="8" t="inlineStr">
        <is>
          <t>strategy-test-filters</t>
        </is>
      </c>
      <c r="B58" s="8" t="inlineStr">
        <is>
          <t>python</t>
        </is>
      </c>
      <c r="C58" s="8" t="inlineStr">
        <is>
          <t>run2</t>
        </is>
      </c>
      <c r="D58" s="8" t="n">
        <v>20.93</v>
      </c>
    </row>
    <row r="59">
      <c r="A59" s="8" t="inlineStr">
        <is>
          <t>strategy-test-filters</t>
        </is>
      </c>
      <c r="B59" s="8" t="inlineStr">
        <is>
          <t>python</t>
        </is>
      </c>
      <c r="C59" s="8" t="inlineStr">
        <is>
          <t>run3</t>
        </is>
      </c>
      <c r="D59" s="8" t="n">
        <v>20.94</v>
      </c>
    </row>
    <row r="60">
      <c r="A60" s="8" t="inlineStr">
        <is>
          <t>strategy-test-filters</t>
        </is>
      </c>
      <c r="B60" s="8" t="inlineStr">
        <is>
          <t>python</t>
        </is>
      </c>
      <c r="C60" s="8" t="inlineStr">
        <is>
          <t>run4</t>
        </is>
      </c>
      <c r="D60" s="8" t="n">
        <v>21.33</v>
      </c>
    </row>
    <row r="61">
      <c r="A61" s="8" t="inlineStr">
        <is>
          <t>strategy-test-filters</t>
        </is>
      </c>
      <c r="B61" s="8" t="inlineStr">
        <is>
          <t>python</t>
        </is>
      </c>
      <c r="C61" s="8" t="inlineStr">
        <is>
          <t>run5</t>
        </is>
      </c>
      <c r="D61" s="8" t="n">
        <v>21.36</v>
      </c>
    </row>
    <row r="62">
      <c r="A62" s="8" t="inlineStr">
        <is>
          <t>strategy-test-filters</t>
        </is>
      </c>
      <c r="B62" s="8" t="inlineStr">
        <is>
          <t>javascript</t>
        </is>
      </c>
      <c r="C62" s="8" t="inlineStr">
        <is>
          <t>warmup</t>
        </is>
      </c>
      <c r="D62" s="8" t="n">
        <v>94.48999999999999</v>
      </c>
    </row>
    <row r="63">
      <c r="A63" s="8" t="inlineStr">
        <is>
          <t>strategy-test-filters</t>
        </is>
      </c>
      <c r="B63" s="8" t="inlineStr">
        <is>
          <t>javascript</t>
        </is>
      </c>
      <c r="C63" s="8" t="inlineStr">
        <is>
          <t>run1</t>
        </is>
      </c>
      <c r="D63" s="8" t="n">
        <v>94.54000000000001</v>
      </c>
    </row>
    <row r="64">
      <c r="A64" s="8" t="inlineStr">
        <is>
          <t>strategy-test-filters</t>
        </is>
      </c>
      <c r="B64" s="8" t="inlineStr">
        <is>
          <t>javascript</t>
        </is>
      </c>
      <c r="C64" s="8" t="inlineStr">
        <is>
          <t>run2</t>
        </is>
      </c>
      <c r="D64" s="8" t="n">
        <v>92.8</v>
      </c>
    </row>
    <row r="65">
      <c r="A65" s="8" t="inlineStr">
        <is>
          <t>strategy-test-filters</t>
        </is>
      </c>
      <c r="B65" s="8" t="inlineStr">
        <is>
          <t>javascript</t>
        </is>
      </c>
      <c r="C65" s="8" t="inlineStr">
        <is>
          <t>run3</t>
        </is>
      </c>
      <c r="D65" s="8" t="n">
        <v>92.09</v>
      </c>
    </row>
    <row r="66">
      <c r="A66" s="8" t="inlineStr">
        <is>
          <t>strategy-test-filters</t>
        </is>
      </c>
      <c r="B66" s="8" t="inlineStr">
        <is>
          <t>javascript</t>
        </is>
      </c>
      <c r="C66" s="8" t="inlineStr">
        <is>
          <t>run4</t>
        </is>
      </c>
      <c r="D66" s="8" t="n">
        <v>93.23999999999999</v>
      </c>
    </row>
    <row r="67">
      <c r="A67" s="8" t="inlineStr">
        <is>
          <t>strategy-test-filters</t>
        </is>
      </c>
      <c r="B67" s="8" t="inlineStr">
        <is>
          <t>javascript</t>
        </is>
      </c>
      <c r="C67" s="8" t="inlineStr">
        <is>
          <t>run5</t>
        </is>
      </c>
      <c r="D67" s="8" t="n">
        <v>92.47</v>
      </c>
    </row>
    <row r="68">
      <c r="A68" s="8" t="inlineStr">
        <is>
          <t>strategy-test-filters</t>
        </is>
      </c>
      <c r="B68" s="8" t="inlineStr">
        <is>
          <t>cpp</t>
        </is>
      </c>
      <c r="C68" s="8" t="inlineStr">
        <is>
          <t>warmup</t>
        </is>
      </c>
      <c r="D68" s="8" t="n">
        <v>5.3</v>
      </c>
    </row>
    <row r="69">
      <c r="A69" s="8" t="inlineStr">
        <is>
          <t>strategy-test-filters</t>
        </is>
      </c>
      <c r="B69" s="8" t="inlineStr">
        <is>
          <t>cpp</t>
        </is>
      </c>
      <c r="C69" s="8" t="inlineStr">
        <is>
          <t>run1</t>
        </is>
      </c>
      <c r="D69" s="8" t="n">
        <v>5.03</v>
      </c>
    </row>
    <row r="70">
      <c r="A70" s="8" t="inlineStr">
        <is>
          <t>strategy-test-filters</t>
        </is>
      </c>
      <c r="B70" s="8" t="inlineStr">
        <is>
          <t>cpp</t>
        </is>
      </c>
      <c r="C70" s="8" t="inlineStr">
        <is>
          <t>run2</t>
        </is>
      </c>
      <c r="D70" s="8" t="n">
        <v>4.81</v>
      </c>
    </row>
    <row r="71">
      <c r="A71" s="8" t="inlineStr">
        <is>
          <t>strategy-test-filters</t>
        </is>
      </c>
      <c r="B71" s="8" t="inlineStr">
        <is>
          <t>cpp</t>
        </is>
      </c>
      <c r="C71" s="8" t="inlineStr">
        <is>
          <t>run3</t>
        </is>
      </c>
      <c r="D71" s="8" t="n">
        <v>5.18</v>
      </c>
    </row>
    <row r="72">
      <c r="A72" s="8" t="inlineStr">
        <is>
          <t>strategy-test-filters</t>
        </is>
      </c>
      <c r="B72" s="8" t="inlineStr">
        <is>
          <t>cpp</t>
        </is>
      </c>
      <c r="C72" s="8" t="inlineStr">
        <is>
          <t>run4</t>
        </is>
      </c>
      <c r="D72" s="8" t="n">
        <v>5.08</v>
      </c>
    </row>
    <row r="73">
      <c r="A73" s="8" t="inlineStr">
        <is>
          <t>strategy-test-filters</t>
        </is>
      </c>
      <c r="B73" s="8" t="inlineStr">
        <is>
          <t>cpp</t>
        </is>
      </c>
      <c r="C73" s="8" t="inlineStr">
        <is>
          <t>run5</t>
        </is>
      </c>
      <c r="D73" s="8" t="n">
        <v>5.44</v>
      </c>
    </row>
    <row r="74">
      <c r="A74" s="8" t="inlineStr">
        <is>
          <t>adapter-listener-bridge</t>
        </is>
      </c>
      <c r="B74" s="8" t="inlineStr">
        <is>
          <t>java</t>
        </is>
      </c>
      <c r="C74" s="8" t="inlineStr">
        <is>
          <t>warmup</t>
        </is>
      </c>
      <c r="D74" s="8" t="n">
        <v>33.52</v>
      </c>
    </row>
    <row r="75">
      <c r="A75" s="8" t="inlineStr">
        <is>
          <t>adapter-listener-bridge</t>
        </is>
      </c>
      <c r="B75" s="8" t="inlineStr">
        <is>
          <t>java</t>
        </is>
      </c>
      <c r="C75" s="8" t="inlineStr">
        <is>
          <t>run1</t>
        </is>
      </c>
      <c r="D75" s="8" t="n">
        <v>33.23</v>
      </c>
    </row>
    <row r="76">
      <c r="A76" s="8" t="inlineStr">
        <is>
          <t>adapter-listener-bridge</t>
        </is>
      </c>
      <c r="B76" s="8" t="inlineStr">
        <is>
          <t>java</t>
        </is>
      </c>
      <c r="C76" s="8" t="inlineStr">
        <is>
          <t>run2</t>
        </is>
      </c>
      <c r="D76" s="8" t="n">
        <v>33.7</v>
      </c>
    </row>
    <row r="77">
      <c r="A77" s="8" t="inlineStr">
        <is>
          <t>adapter-listener-bridge</t>
        </is>
      </c>
      <c r="B77" s="8" t="inlineStr">
        <is>
          <t>java</t>
        </is>
      </c>
      <c r="C77" s="8" t="inlineStr">
        <is>
          <t>run3</t>
        </is>
      </c>
      <c r="D77" s="8" t="n">
        <v>33.61</v>
      </c>
    </row>
    <row r="78">
      <c r="A78" s="8" t="inlineStr">
        <is>
          <t>adapter-listener-bridge</t>
        </is>
      </c>
      <c r="B78" s="8" t="inlineStr">
        <is>
          <t>java</t>
        </is>
      </c>
      <c r="C78" s="8" t="inlineStr">
        <is>
          <t>run4</t>
        </is>
      </c>
      <c r="D78" s="8" t="n">
        <v>33.58</v>
      </c>
    </row>
    <row r="79">
      <c r="A79" s="8" t="inlineStr">
        <is>
          <t>adapter-listener-bridge</t>
        </is>
      </c>
      <c r="B79" s="8" t="inlineStr">
        <is>
          <t>java</t>
        </is>
      </c>
      <c r="C79" s="8" t="inlineStr">
        <is>
          <t>run5</t>
        </is>
      </c>
      <c r="D79" s="8" t="n">
        <v>33.28</v>
      </c>
    </row>
    <row r="80">
      <c r="A80" s="8" t="inlineStr">
        <is>
          <t>adapter-listener-bridge</t>
        </is>
      </c>
      <c r="B80" s="8" t="inlineStr">
        <is>
          <t>python</t>
        </is>
      </c>
      <c r="C80" s="8" t="inlineStr">
        <is>
          <t>warmup</t>
        </is>
      </c>
      <c r="D80" s="8" t="n">
        <v>21.74</v>
      </c>
    </row>
    <row r="81">
      <c r="A81" s="8" t="inlineStr">
        <is>
          <t>adapter-listener-bridge</t>
        </is>
      </c>
      <c r="B81" s="8" t="inlineStr">
        <is>
          <t>python</t>
        </is>
      </c>
      <c r="C81" s="8" t="inlineStr">
        <is>
          <t>run1</t>
        </is>
      </c>
      <c r="D81" s="8" t="n">
        <v>20.93</v>
      </c>
    </row>
    <row r="82">
      <c r="A82" s="8" t="inlineStr">
        <is>
          <t>adapter-listener-bridge</t>
        </is>
      </c>
      <c r="B82" s="8" t="inlineStr">
        <is>
          <t>python</t>
        </is>
      </c>
      <c r="C82" s="8" t="inlineStr">
        <is>
          <t>run2</t>
        </is>
      </c>
      <c r="D82" s="8" t="n">
        <v>21.09</v>
      </c>
    </row>
    <row r="83">
      <c r="A83" s="8" t="inlineStr">
        <is>
          <t>adapter-listener-bridge</t>
        </is>
      </c>
      <c r="B83" s="8" t="inlineStr">
        <is>
          <t>python</t>
        </is>
      </c>
      <c r="C83" s="8" t="inlineStr">
        <is>
          <t>run3</t>
        </is>
      </c>
      <c r="D83" s="8" t="n">
        <v>21.14</v>
      </c>
    </row>
    <row r="84">
      <c r="A84" s="8" t="inlineStr">
        <is>
          <t>adapter-listener-bridge</t>
        </is>
      </c>
      <c r="B84" s="8" t="inlineStr">
        <is>
          <t>python</t>
        </is>
      </c>
      <c r="C84" s="8" t="inlineStr">
        <is>
          <t>run4</t>
        </is>
      </c>
      <c r="D84" s="8" t="n">
        <v>21.2</v>
      </c>
    </row>
    <row r="85">
      <c r="A85" s="8" t="inlineStr">
        <is>
          <t>adapter-listener-bridge</t>
        </is>
      </c>
      <c r="B85" s="8" t="inlineStr">
        <is>
          <t>python</t>
        </is>
      </c>
      <c r="C85" s="8" t="inlineStr">
        <is>
          <t>run5</t>
        </is>
      </c>
      <c r="D85" s="8" t="n">
        <v>21.06</v>
      </c>
    </row>
    <row r="86">
      <c r="A86" s="8" t="inlineStr">
        <is>
          <t>adapter-listener-bridge</t>
        </is>
      </c>
      <c r="B86" s="8" t="inlineStr">
        <is>
          <t>javascript</t>
        </is>
      </c>
      <c r="C86" s="8" t="inlineStr">
        <is>
          <t>warmup</t>
        </is>
      </c>
      <c r="D86" s="8" t="n">
        <v>91.76000000000001</v>
      </c>
    </row>
    <row r="87">
      <c r="A87" s="8" t="inlineStr">
        <is>
          <t>adapter-listener-bridge</t>
        </is>
      </c>
      <c r="B87" s="8" t="inlineStr">
        <is>
          <t>javascript</t>
        </is>
      </c>
      <c r="C87" s="8" t="inlineStr">
        <is>
          <t>run1</t>
        </is>
      </c>
      <c r="D87" s="8" t="n">
        <v>92.43000000000001</v>
      </c>
    </row>
    <row r="88">
      <c r="A88" s="8" t="inlineStr">
        <is>
          <t>adapter-listener-bridge</t>
        </is>
      </c>
      <c r="B88" s="8" t="inlineStr">
        <is>
          <t>javascript</t>
        </is>
      </c>
      <c r="C88" s="8" t="inlineStr">
        <is>
          <t>run2</t>
        </is>
      </c>
      <c r="D88" s="8" t="n">
        <v>92.98999999999999</v>
      </c>
    </row>
    <row r="89">
      <c r="A89" s="8" t="inlineStr">
        <is>
          <t>adapter-listener-bridge</t>
        </is>
      </c>
      <c r="B89" s="8" t="inlineStr">
        <is>
          <t>javascript</t>
        </is>
      </c>
      <c r="C89" s="8" t="inlineStr">
        <is>
          <t>run3</t>
        </is>
      </c>
      <c r="D89" s="8" t="n">
        <v>93.20999999999999</v>
      </c>
    </row>
    <row r="90">
      <c r="A90" s="8" t="inlineStr">
        <is>
          <t>adapter-listener-bridge</t>
        </is>
      </c>
      <c r="B90" s="8" t="inlineStr">
        <is>
          <t>javascript</t>
        </is>
      </c>
      <c r="C90" s="8" t="inlineStr">
        <is>
          <t>run4</t>
        </is>
      </c>
      <c r="D90" s="8" t="n">
        <v>91.92</v>
      </c>
    </row>
    <row r="91">
      <c r="A91" s="8" t="inlineStr">
        <is>
          <t>adapter-listener-bridge</t>
        </is>
      </c>
      <c r="B91" s="8" t="inlineStr">
        <is>
          <t>javascript</t>
        </is>
      </c>
      <c r="C91" s="8" t="inlineStr">
        <is>
          <t>run5</t>
        </is>
      </c>
      <c r="D91" s="8" t="n">
        <v>91.03</v>
      </c>
    </row>
    <row r="92">
      <c r="A92" s="8" t="inlineStr">
        <is>
          <t>adapter-listener-bridge</t>
        </is>
      </c>
      <c r="B92" s="8" t="inlineStr">
        <is>
          <t>cpp</t>
        </is>
      </c>
      <c r="C92" s="8" t="inlineStr">
        <is>
          <t>warmup</t>
        </is>
      </c>
      <c r="D92" s="8" t="n">
        <v>7.83</v>
      </c>
    </row>
    <row r="93">
      <c r="A93" s="8" t="inlineStr">
        <is>
          <t>adapter-listener-bridge</t>
        </is>
      </c>
      <c r="B93" s="8" t="inlineStr">
        <is>
          <t>cpp</t>
        </is>
      </c>
      <c r="C93" s="8" t="inlineStr">
        <is>
          <t>run1</t>
        </is>
      </c>
      <c r="D93" s="8" t="n">
        <v>7.23</v>
      </c>
    </row>
    <row r="94">
      <c r="A94" s="8" t="inlineStr">
        <is>
          <t>adapter-listener-bridge</t>
        </is>
      </c>
      <c r="B94" s="8" t="inlineStr">
        <is>
          <t>cpp</t>
        </is>
      </c>
      <c r="C94" s="8" t="inlineStr">
        <is>
          <t>run2</t>
        </is>
      </c>
      <c r="D94" s="8" t="n">
        <v>6.45</v>
      </c>
    </row>
    <row r="95">
      <c r="A95" s="8" t="inlineStr">
        <is>
          <t>adapter-listener-bridge</t>
        </is>
      </c>
      <c r="B95" s="8" t="inlineStr">
        <is>
          <t>cpp</t>
        </is>
      </c>
      <c r="C95" s="8" t="inlineStr">
        <is>
          <t>run3</t>
        </is>
      </c>
      <c r="D95" s="8" t="n">
        <v>5.89</v>
      </c>
    </row>
    <row r="96">
      <c r="A96" s="8" t="inlineStr">
        <is>
          <t>adapter-listener-bridge</t>
        </is>
      </c>
      <c r="B96" s="8" t="inlineStr">
        <is>
          <t>cpp</t>
        </is>
      </c>
      <c r="C96" s="8" t="inlineStr">
        <is>
          <t>run4</t>
        </is>
      </c>
      <c r="D96" s="8" t="n">
        <v>5.74</v>
      </c>
    </row>
    <row r="97">
      <c r="A97" s="8" t="inlineStr">
        <is>
          <t>adapter-listener-bridge</t>
        </is>
      </c>
      <c r="B97" s="8" t="inlineStr">
        <is>
          <t>cpp</t>
        </is>
      </c>
      <c r="C97" s="8" t="inlineStr">
        <is>
          <t>run5</t>
        </is>
      </c>
      <c r="D97" s="8" t="n">
        <v>5.56</v>
      </c>
    </row>
    <row r="98">
      <c r="A98" s="8" t="inlineStr">
        <is>
          <t>decorator-timeout-invocation</t>
        </is>
      </c>
      <c r="B98" s="8" t="inlineStr">
        <is>
          <t>java</t>
        </is>
      </c>
      <c r="C98" s="8" t="inlineStr">
        <is>
          <t>warmup</t>
        </is>
      </c>
      <c r="D98" s="8" t="n">
        <v>34.19</v>
      </c>
    </row>
    <row r="99">
      <c r="A99" s="8" t="inlineStr">
        <is>
          <t>decorator-timeout-invocation</t>
        </is>
      </c>
      <c r="B99" s="8" t="inlineStr">
        <is>
          <t>java</t>
        </is>
      </c>
      <c r="C99" s="8" t="inlineStr">
        <is>
          <t>run1</t>
        </is>
      </c>
      <c r="D99" s="8" t="n">
        <v>34.95</v>
      </c>
    </row>
    <row r="100">
      <c r="A100" s="8" t="inlineStr">
        <is>
          <t>decorator-timeout-invocation</t>
        </is>
      </c>
      <c r="B100" s="8" t="inlineStr">
        <is>
          <t>java</t>
        </is>
      </c>
      <c r="C100" s="8" t="inlineStr">
        <is>
          <t>run2</t>
        </is>
      </c>
      <c r="D100" s="8" t="n">
        <v>35.03</v>
      </c>
    </row>
    <row r="101">
      <c r="A101" s="8" t="inlineStr">
        <is>
          <t>decorator-timeout-invocation</t>
        </is>
      </c>
      <c r="B101" s="8" t="inlineStr">
        <is>
          <t>java</t>
        </is>
      </c>
      <c r="C101" s="8" t="inlineStr">
        <is>
          <t>run3</t>
        </is>
      </c>
      <c r="D101" s="8" t="n">
        <v>34.57</v>
      </c>
    </row>
    <row r="102">
      <c r="A102" s="8" t="inlineStr">
        <is>
          <t>decorator-timeout-invocation</t>
        </is>
      </c>
      <c r="B102" s="8" t="inlineStr">
        <is>
          <t>java</t>
        </is>
      </c>
      <c r="C102" s="8" t="inlineStr">
        <is>
          <t>run4</t>
        </is>
      </c>
      <c r="D102" s="8" t="n">
        <v>35.04</v>
      </c>
    </row>
    <row r="103">
      <c r="A103" s="8" t="inlineStr">
        <is>
          <t>decorator-timeout-invocation</t>
        </is>
      </c>
      <c r="B103" s="8" t="inlineStr">
        <is>
          <t>java</t>
        </is>
      </c>
      <c r="C103" s="8" t="inlineStr">
        <is>
          <t>run5</t>
        </is>
      </c>
      <c r="D103" s="8" t="n">
        <v>34.27</v>
      </c>
    </row>
    <row r="104">
      <c r="A104" s="8" t="inlineStr">
        <is>
          <t>decorator-timeout-invocation</t>
        </is>
      </c>
      <c r="B104" s="8" t="inlineStr">
        <is>
          <t>python</t>
        </is>
      </c>
      <c r="C104" s="8" t="inlineStr">
        <is>
          <t>warmup</t>
        </is>
      </c>
      <c r="D104" s="8" t="n">
        <v>21.48</v>
      </c>
    </row>
    <row r="105">
      <c r="A105" s="8" t="inlineStr">
        <is>
          <t>decorator-timeout-invocation</t>
        </is>
      </c>
      <c r="B105" s="8" t="inlineStr">
        <is>
          <t>python</t>
        </is>
      </c>
      <c r="C105" s="8" t="inlineStr">
        <is>
          <t>run1</t>
        </is>
      </c>
      <c r="D105" s="8" t="n">
        <v>22.06</v>
      </c>
    </row>
    <row r="106">
      <c r="A106" s="8" t="inlineStr">
        <is>
          <t>decorator-timeout-invocation</t>
        </is>
      </c>
      <c r="B106" s="8" t="inlineStr">
        <is>
          <t>python</t>
        </is>
      </c>
      <c r="C106" s="8" t="inlineStr">
        <is>
          <t>run2</t>
        </is>
      </c>
      <c r="D106" s="8" t="n">
        <v>21.46</v>
      </c>
    </row>
    <row r="107">
      <c r="A107" s="8" t="inlineStr">
        <is>
          <t>decorator-timeout-invocation</t>
        </is>
      </c>
      <c r="B107" s="8" t="inlineStr">
        <is>
          <t>python</t>
        </is>
      </c>
      <c r="C107" s="8" t="inlineStr">
        <is>
          <t>run3</t>
        </is>
      </c>
      <c r="D107" s="8" t="n">
        <v>21.24</v>
      </c>
    </row>
    <row r="108">
      <c r="A108" s="8" t="inlineStr">
        <is>
          <t>decorator-timeout-invocation</t>
        </is>
      </c>
      <c r="B108" s="8" t="inlineStr">
        <is>
          <t>python</t>
        </is>
      </c>
      <c r="C108" s="8" t="inlineStr">
        <is>
          <t>run4</t>
        </is>
      </c>
      <c r="D108" s="8" t="n">
        <v>20.92</v>
      </c>
    </row>
    <row r="109">
      <c r="A109" s="8" t="inlineStr">
        <is>
          <t>decorator-timeout-invocation</t>
        </is>
      </c>
      <c r="B109" s="8" t="inlineStr">
        <is>
          <t>python</t>
        </is>
      </c>
      <c r="C109" s="8" t="inlineStr">
        <is>
          <t>run5</t>
        </is>
      </c>
      <c r="D109" s="8" t="n">
        <v>21.07</v>
      </c>
    </row>
    <row r="110">
      <c r="A110" s="8" t="inlineStr">
        <is>
          <t>decorator-timeout-invocation</t>
        </is>
      </c>
      <c r="B110" s="8" t="inlineStr">
        <is>
          <t>javascript</t>
        </is>
      </c>
      <c r="C110" s="8" t="inlineStr">
        <is>
          <t>warmup</t>
        </is>
      </c>
      <c r="D110" s="8" t="n">
        <v>94.26000000000001</v>
      </c>
    </row>
    <row r="111">
      <c r="A111" s="8" t="inlineStr">
        <is>
          <t>decorator-timeout-invocation</t>
        </is>
      </c>
      <c r="B111" s="8" t="inlineStr">
        <is>
          <t>javascript</t>
        </is>
      </c>
      <c r="C111" s="8" t="inlineStr">
        <is>
          <t>run1</t>
        </is>
      </c>
      <c r="D111" s="8" t="n">
        <v>91.63</v>
      </c>
    </row>
    <row r="112">
      <c r="A112" s="8" t="inlineStr">
        <is>
          <t>decorator-timeout-invocation</t>
        </is>
      </c>
      <c r="B112" s="8" t="inlineStr">
        <is>
          <t>javascript</t>
        </is>
      </c>
      <c r="C112" s="8" t="inlineStr">
        <is>
          <t>run2</t>
        </is>
      </c>
      <c r="D112" s="8" t="n">
        <v>91.48</v>
      </c>
    </row>
    <row r="113">
      <c r="A113" s="8" t="inlineStr">
        <is>
          <t>decorator-timeout-invocation</t>
        </is>
      </c>
      <c r="B113" s="8" t="inlineStr">
        <is>
          <t>javascript</t>
        </is>
      </c>
      <c r="C113" s="8" t="inlineStr">
        <is>
          <t>run3</t>
        </is>
      </c>
      <c r="D113" s="8" t="n">
        <v>93.17</v>
      </c>
    </row>
    <row r="114">
      <c r="A114" s="8" t="inlineStr">
        <is>
          <t>decorator-timeout-invocation</t>
        </is>
      </c>
      <c r="B114" s="8" t="inlineStr">
        <is>
          <t>javascript</t>
        </is>
      </c>
      <c r="C114" s="8" t="inlineStr">
        <is>
          <t>run4</t>
        </is>
      </c>
      <c r="D114" s="8" t="n">
        <v>92.72</v>
      </c>
    </row>
    <row r="115">
      <c r="A115" s="8" t="inlineStr">
        <is>
          <t>decorator-timeout-invocation</t>
        </is>
      </c>
      <c r="B115" s="8" t="inlineStr">
        <is>
          <t>javascript</t>
        </is>
      </c>
      <c r="C115" s="8" t="inlineStr">
        <is>
          <t>run5</t>
        </is>
      </c>
      <c r="D115" s="8" t="n">
        <v>93.84999999999999</v>
      </c>
    </row>
    <row r="116">
      <c r="A116" s="8" t="inlineStr">
        <is>
          <t>decorator-timeout-invocation</t>
        </is>
      </c>
      <c r="B116" s="8" t="inlineStr">
        <is>
          <t>cpp</t>
        </is>
      </c>
      <c r="C116" s="8" t="inlineStr">
        <is>
          <t>warmup</t>
        </is>
      </c>
      <c r="D116" s="8" t="n">
        <v>5.52</v>
      </c>
    </row>
    <row r="117">
      <c r="A117" s="8" t="inlineStr">
        <is>
          <t>decorator-timeout-invocation</t>
        </is>
      </c>
      <c r="B117" s="8" t="inlineStr">
        <is>
          <t>cpp</t>
        </is>
      </c>
      <c r="C117" s="8" t="inlineStr">
        <is>
          <t>run1</t>
        </is>
      </c>
      <c r="D117" s="8" t="n">
        <v>5.16</v>
      </c>
    </row>
    <row r="118">
      <c r="A118" s="8" t="inlineStr">
        <is>
          <t>decorator-timeout-invocation</t>
        </is>
      </c>
      <c r="B118" s="8" t="inlineStr">
        <is>
          <t>cpp</t>
        </is>
      </c>
      <c r="C118" s="8" t="inlineStr">
        <is>
          <t>run2</t>
        </is>
      </c>
      <c r="D118" s="8" t="n">
        <v>5.1</v>
      </c>
    </row>
    <row r="119">
      <c r="A119" s="8" t="inlineStr">
        <is>
          <t>decorator-timeout-invocation</t>
        </is>
      </c>
      <c r="B119" s="8" t="inlineStr">
        <is>
          <t>cpp</t>
        </is>
      </c>
      <c r="C119" s="8" t="inlineStr">
        <is>
          <t>run3</t>
        </is>
      </c>
      <c r="D119" s="8" t="n">
        <v>4.96</v>
      </c>
    </row>
    <row r="120">
      <c r="A120" s="8" t="inlineStr">
        <is>
          <t>decorator-timeout-invocation</t>
        </is>
      </c>
      <c r="B120" s="8" t="inlineStr">
        <is>
          <t>cpp</t>
        </is>
      </c>
      <c r="C120" s="8" t="inlineStr">
        <is>
          <t>run4</t>
        </is>
      </c>
      <c r="D120" s="8" t="n">
        <v>4.62</v>
      </c>
    </row>
    <row r="121">
      <c r="A121" s="8" t="inlineStr">
        <is>
          <t>decorator-timeout-invocation</t>
        </is>
      </c>
      <c r="B121" s="8" t="inlineStr">
        <is>
          <t>cpp</t>
        </is>
      </c>
      <c r="C121" s="8" t="inlineStr">
        <is>
          <t>run5</t>
        </is>
      </c>
      <c r="D121" s="8" t="n">
        <v>4.81</v>
      </c>
    </row>
    <row r="122">
      <c r="A122" s="8" t="inlineStr">
        <is>
          <t>template-method-engine</t>
        </is>
      </c>
      <c r="B122" s="8" t="inlineStr">
        <is>
          <t>java</t>
        </is>
      </c>
      <c r="C122" s="8" t="inlineStr">
        <is>
          <t>warmup</t>
        </is>
      </c>
      <c r="D122" s="8" t="n">
        <v>36.45</v>
      </c>
    </row>
    <row r="123">
      <c r="A123" s="8" t="inlineStr">
        <is>
          <t>template-method-engine</t>
        </is>
      </c>
      <c r="B123" s="8" t="inlineStr">
        <is>
          <t>java</t>
        </is>
      </c>
      <c r="C123" s="8" t="inlineStr">
        <is>
          <t>run1</t>
        </is>
      </c>
      <c r="D123" s="8" t="n">
        <v>36.96</v>
      </c>
    </row>
    <row r="124">
      <c r="A124" s="8" t="inlineStr">
        <is>
          <t>template-method-engine</t>
        </is>
      </c>
      <c r="B124" s="8" t="inlineStr">
        <is>
          <t>java</t>
        </is>
      </c>
      <c r="C124" s="8" t="inlineStr">
        <is>
          <t>run2</t>
        </is>
      </c>
      <c r="D124" s="8" t="n">
        <v>37.24</v>
      </c>
    </row>
    <row r="125">
      <c r="A125" s="8" t="inlineStr">
        <is>
          <t>template-method-engine</t>
        </is>
      </c>
      <c r="B125" s="8" t="inlineStr">
        <is>
          <t>java</t>
        </is>
      </c>
      <c r="C125" s="8" t="inlineStr">
        <is>
          <t>run3</t>
        </is>
      </c>
      <c r="D125" s="8" t="n">
        <v>36.53</v>
      </c>
    </row>
    <row r="126">
      <c r="A126" s="8" t="inlineStr">
        <is>
          <t>template-method-engine</t>
        </is>
      </c>
      <c r="B126" s="8" t="inlineStr">
        <is>
          <t>java</t>
        </is>
      </c>
      <c r="C126" s="8" t="inlineStr">
        <is>
          <t>run4</t>
        </is>
      </c>
      <c r="D126" s="8" t="n">
        <v>36.78</v>
      </c>
    </row>
    <row r="127">
      <c r="A127" s="8" t="inlineStr">
        <is>
          <t>template-method-engine</t>
        </is>
      </c>
      <c r="B127" s="8" t="inlineStr">
        <is>
          <t>java</t>
        </is>
      </c>
      <c r="C127" s="8" t="inlineStr">
        <is>
          <t>run5</t>
        </is>
      </c>
      <c r="D127" s="8" t="n">
        <v>36.59</v>
      </c>
    </row>
    <row r="128">
      <c r="A128" s="8" t="inlineStr">
        <is>
          <t>template-method-engine</t>
        </is>
      </c>
      <c r="B128" s="8" t="inlineStr">
        <is>
          <t>python</t>
        </is>
      </c>
      <c r="C128" s="8" t="inlineStr">
        <is>
          <t>warmup</t>
        </is>
      </c>
      <c r="D128" s="8" t="n">
        <v>20.85</v>
      </c>
    </row>
    <row r="129">
      <c r="A129" s="8" t="inlineStr">
        <is>
          <t>template-method-engine</t>
        </is>
      </c>
      <c r="B129" s="8" t="inlineStr">
        <is>
          <t>python</t>
        </is>
      </c>
      <c r="C129" s="8" t="inlineStr">
        <is>
          <t>run1</t>
        </is>
      </c>
      <c r="D129" s="8" t="n">
        <v>20.99</v>
      </c>
    </row>
    <row r="130">
      <c r="A130" s="8" t="inlineStr">
        <is>
          <t>template-method-engine</t>
        </is>
      </c>
      <c r="B130" s="8" t="inlineStr">
        <is>
          <t>python</t>
        </is>
      </c>
      <c r="C130" s="8" t="inlineStr">
        <is>
          <t>run2</t>
        </is>
      </c>
      <c r="D130" s="8" t="n">
        <v>21.48</v>
      </c>
    </row>
    <row r="131">
      <c r="A131" s="8" t="inlineStr">
        <is>
          <t>template-method-engine</t>
        </is>
      </c>
      <c r="B131" s="8" t="inlineStr">
        <is>
          <t>python</t>
        </is>
      </c>
      <c r="C131" s="8" t="inlineStr">
        <is>
          <t>run3</t>
        </is>
      </c>
      <c r="D131" s="8" t="n">
        <v>21.47</v>
      </c>
    </row>
    <row r="132">
      <c r="A132" s="8" t="inlineStr">
        <is>
          <t>template-method-engine</t>
        </is>
      </c>
      <c r="B132" s="8" t="inlineStr">
        <is>
          <t>python</t>
        </is>
      </c>
      <c r="C132" s="8" t="inlineStr">
        <is>
          <t>run4</t>
        </is>
      </c>
      <c r="D132" s="8" t="n">
        <v>21.39</v>
      </c>
    </row>
    <row r="133">
      <c r="A133" s="8" t="inlineStr">
        <is>
          <t>template-method-engine</t>
        </is>
      </c>
      <c r="B133" s="8" t="inlineStr">
        <is>
          <t>python</t>
        </is>
      </c>
      <c r="C133" s="8" t="inlineStr">
        <is>
          <t>run5</t>
        </is>
      </c>
      <c r="D133" s="8" t="n">
        <v>22.06</v>
      </c>
    </row>
    <row r="134">
      <c r="A134" s="8" t="inlineStr">
        <is>
          <t>template-method-engine</t>
        </is>
      </c>
      <c r="B134" s="8" t="inlineStr">
        <is>
          <t>javascript</t>
        </is>
      </c>
      <c r="C134" s="8" t="inlineStr">
        <is>
          <t>warmup</t>
        </is>
      </c>
      <c r="D134" s="8" t="n">
        <v>91.75</v>
      </c>
    </row>
    <row r="135">
      <c r="A135" s="8" t="inlineStr">
        <is>
          <t>template-method-engine</t>
        </is>
      </c>
      <c r="B135" s="8" t="inlineStr">
        <is>
          <t>javascript</t>
        </is>
      </c>
      <c r="C135" s="8" t="inlineStr">
        <is>
          <t>run1</t>
        </is>
      </c>
      <c r="D135" s="8" t="n">
        <v>91.08</v>
      </c>
    </row>
    <row r="136">
      <c r="A136" s="8" t="inlineStr">
        <is>
          <t>template-method-engine</t>
        </is>
      </c>
      <c r="B136" s="8" t="inlineStr">
        <is>
          <t>javascript</t>
        </is>
      </c>
      <c r="C136" s="8" t="inlineStr">
        <is>
          <t>run2</t>
        </is>
      </c>
      <c r="D136" s="8" t="n">
        <v>91.56999999999999</v>
      </c>
    </row>
    <row r="137">
      <c r="A137" s="8" t="inlineStr">
        <is>
          <t>template-method-engine</t>
        </is>
      </c>
      <c r="B137" s="8" t="inlineStr">
        <is>
          <t>javascript</t>
        </is>
      </c>
      <c r="C137" s="8" t="inlineStr">
        <is>
          <t>run3</t>
        </is>
      </c>
      <c r="D137" s="8" t="n">
        <v>93.19</v>
      </c>
    </row>
    <row r="138">
      <c r="A138" s="8" t="inlineStr">
        <is>
          <t>template-method-engine</t>
        </is>
      </c>
      <c r="B138" s="8" t="inlineStr">
        <is>
          <t>javascript</t>
        </is>
      </c>
      <c r="C138" s="8" t="inlineStr">
        <is>
          <t>run4</t>
        </is>
      </c>
      <c r="D138" s="8" t="n">
        <v>92.28</v>
      </c>
    </row>
    <row r="139">
      <c r="A139" s="8" t="inlineStr">
        <is>
          <t>template-method-engine</t>
        </is>
      </c>
      <c r="B139" s="8" t="inlineStr">
        <is>
          <t>javascript</t>
        </is>
      </c>
      <c r="C139" s="8" t="inlineStr">
        <is>
          <t>run5</t>
        </is>
      </c>
      <c r="D139" s="8" t="n">
        <v>92.38</v>
      </c>
    </row>
    <row r="140">
      <c r="A140" s="8" t="inlineStr">
        <is>
          <t>template-method-engine</t>
        </is>
      </c>
      <c r="B140" s="8" t="inlineStr">
        <is>
          <t>cpp</t>
        </is>
      </c>
      <c r="C140" s="8" t="inlineStr">
        <is>
          <t>warmup</t>
        </is>
      </c>
      <c r="D140" s="8" t="n">
        <v>6.36</v>
      </c>
    </row>
    <row r="141">
      <c r="A141" s="8" t="inlineStr">
        <is>
          <t>template-method-engine</t>
        </is>
      </c>
      <c r="B141" s="8" t="inlineStr">
        <is>
          <t>cpp</t>
        </is>
      </c>
      <c r="C141" s="8" t="inlineStr">
        <is>
          <t>run1</t>
        </is>
      </c>
      <c r="D141" s="8" t="n">
        <v>6.06</v>
      </c>
    </row>
    <row r="142">
      <c r="A142" s="8" t="inlineStr">
        <is>
          <t>template-method-engine</t>
        </is>
      </c>
      <c r="B142" s="8" t="inlineStr">
        <is>
          <t>cpp</t>
        </is>
      </c>
      <c r="C142" s="8" t="inlineStr">
        <is>
          <t>run2</t>
        </is>
      </c>
      <c r="D142" s="8" t="n">
        <v>5.64</v>
      </c>
    </row>
    <row r="143">
      <c r="A143" s="8" t="inlineStr">
        <is>
          <t>template-method-engine</t>
        </is>
      </c>
      <c r="B143" s="8" t="inlineStr">
        <is>
          <t>cpp</t>
        </is>
      </c>
      <c r="C143" s="8" t="inlineStr">
        <is>
          <t>run3</t>
        </is>
      </c>
      <c r="D143" s="8" t="n">
        <v>5.14</v>
      </c>
    </row>
    <row r="144">
      <c r="A144" s="8" t="inlineStr">
        <is>
          <t>template-method-engine</t>
        </is>
      </c>
      <c r="B144" s="8" t="inlineStr">
        <is>
          <t>cpp</t>
        </is>
      </c>
      <c r="C144" s="8" t="inlineStr">
        <is>
          <t>run4</t>
        </is>
      </c>
      <c r="D144" s="8" t="n">
        <v>4.96</v>
      </c>
    </row>
    <row r="145">
      <c r="A145" s="8" t="inlineStr">
        <is>
          <t>template-method-engine</t>
        </is>
      </c>
      <c r="B145" s="8" t="inlineStr">
        <is>
          <t>cpp</t>
        </is>
      </c>
      <c r="C145" s="8" t="inlineStr">
        <is>
          <t>run5</t>
        </is>
      </c>
      <c r="D145" s="8" t="n">
        <v>4.83</v>
      </c>
    </row>
    <row r="146">
      <c r="A146" s="8" t="inlineStr">
        <is>
          <t>command-task-queue</t>
        </is>
      </c>
      <c r="B146" s="8" t="inlineStr">
        <is>
          <t>java</t>
        </is>
      </c>
      <c r="C146" s="8" t="inlineStr">
        <is>
          <t>warmup</t>
        </is>
      </c>
      <c r="D146" s="8" t="n">
        <v>34.2</v>
      </c>
    </row>
    <row r="147">
      <c r="A147" s="8" t="inlineStr">
        <is>
          <t>command-task-queue</t>
        </is>
      </c>
      <c r="B147" s="8" t="inlineStr">
        <is>
          <t>java</t>
        </is>
      </c>
      <c r="C147" s="8" t="inlineStr">
        <is>
          <t>run1</t>
        </is>
      </c>
      <c r="D147" s="8" t="n">
        <v>34.63</v>
      </c>
    </row>
    <row r="148">
      <c r="A148" s="8" t="inlineStr">
        <is>
          <t>command-task-queue</t>
        </is>
      </c>
      <c r="B148" s="8" t="inlineStr">
        <is>
          <t>java</t>
        </is>
      </c>
      <c r="C148" s="8" t="inlineStr">
        <is>
          <t>run2</t>
        </is>
      </c>
      <c r="D148" s="8" t="n">
        <v>34.51</v>
      </c>
    </row>
    <row r="149">
      <c r="A149" s="8" t="inlineStr">
        <is>
          <t>command-task-queue</t>
        </is>
      </c>
      <c r="B149" s="8" t="inlineStr">
        <is>
          <t>java</t>
        </is>
      </c>
      <c r="C149" s="8" t="inlineStr">
        <is>
          <t>run3</t>
        </is>
      </c>
      <c r="D149" s="8" t="n">
        <v>33.82</v>
      </c>
    </row>
    <row r="150">
      <c r="A150" s="8" t="inlineStr">
        <is>
          <t>command-task-queue</t>
        </is>
      </c>
      <c r="B150" s="8" t="inlineStr">
        <is>
          <t>java</t>
        </is>
      </c>
      <c r="C150" s="8" t="inlineStr">
        <is>
          <t>run4</t>
        </is>
      </c>
      <c r="D150" s="8" t="n">
        <v>34.18</v>
      </c>
    </row>
    <row r="151">
      <c r="A151" s="8" t="inlineStr">
        <is>
          <t>command-task-queue</t>
        </is>
      </c>
      <c r="B151" s="8" t="inlineStr">
        <is>
          <t>java</t>
        </is>
      </c>
      <c r="C151" s="8" t="inlineStr">
        <is>
          <t>run5</t>
        </is>
      </c>
      <c r="D151" s="8" t="n">
        <v>33.65</v>
      </c>
    </row>
    <row r="152">
      <c r="A152" s="8" t="inlineStr">
        <is>
          <t>command-task-queue</t>
        </is>
      </c>
      <c r="B152" s="8" t="inlineStr">
        <is>
          <t>python</t>
        </is>
      </c>
      <c r="C152" s="8" t="inlineStr">
        <is>
          <t>warmup</t>
        </is>
      </c>
      <c r="D152" s="8" t="n">
        <v>20.78</v>
      </c>
    </row>
    <row r="153">
      <c r="A153" s="8" t="inlineStr">
        <is>
          <t>command-task-queue</t>
        </is>
      </c>
      <c r="B153" s="8" t="inlineStr">
        <is>
          <t>python</t>
        </is>
      </c>
      <c r="C153" s="8" t="inlineStr">
        <is>
          <t>run1</t>
        </is>
      </c>
      <c r="D153" s="8" t="n">
        <v>21.03</v>
      </c>
    </row>
    <row r="154">
      <c r="A154" s="8" t="inlineStr">
        <is>
          <t>command-task-queue</t>
        </is>
      </c>
      <c r="B154" s="8" t="inlineStr">
        <is>
          <t>python</t>
        </is>
      </c>
      <c r="C154" s="8" t="inlineStr">
        <is>
          <t>run2</t>
        </is>
      </c>
      <c r="D154" s="8" t="n">
        <v>21.15</v>
      </c>
    </row>
    <row r="155">
      <c r="A155" s="8" t="inlineStr">
        <is>
          <t>command-task-queue</t>
        </is>
      </c>
      <c r="B155" s="8" t="inlineStr">
        <is>
          <t>python</t>
        </is>
      </c>
      <c r="C155" s="8" t="inlineStr">
        <is>
          <t>run3</t>
        </is>
      </c>
      <c r="D155" s="8" t="n">
        <v>20.93</v>
      </c>
    </row>
    <row r="156">
      <c r="A156" s="8" t="inlineStr">
        <is>
          <t>command-task-queue</t>
        </is>
      </c>
      <c r="B156" s="8" t="inlineStr">
        <is>
          <t>python</t>
        </is>
      </c>
      <c r="C156" s="8" t="inlineStr">
        <is>
          <t>run4</t>
        </is>
      </c>
      <c r="D156" s="8" t="n">
        <v>21.45</v>
      </c>
    </row>
    <row r="157">
      <c r="A157" s="8" t="inlineStr">
        <is>
          <t>command-task-queue</t>
        </is>
      </c>
      <c r="B157" s="8" t="inlineStr">
        <is>
          <t>python</t>
        </is>
      </c>
      <c r="C157" s="8" t="inlineStr">
        <is>
          <t>run5</t>
        </is>
      </c>
      <c r="D157" s="8" t="n">
        <v>21.29</v>
      </c>
    </row>
    <row r="158">
      <c r="A158" s="8" t="inlineStr">
        <is>
          <t>command-task-queue</t>
        </is>
      </c>
      <c r="B158" s="8" t="inlineStr">
        <is>
          <t>javascript</t>
        </is>
      </c>
      <c r="C158" s="8" t="inlineStr">
        <is>
          <t>warmup</t>
        </is>
      </c>
      <c r="D158" s="8" t="n">
        <v>92.23999999999999</v>
      </c>
    </row>
    <row r="159">
      <c r="A159" s="8" t="inlineStr">
        <is>
          <t>command-task-queue</t>
        </is>
      </c>
      <c r="B159" s="8" t="inlineStr">
        <is>
          <t>javascript</t>
        </is>
      </c>
      <c r="C159" s="8" t="inlineStr">
        <is>
          <t>run1</t>
        </is>
      </c>
      <c r="D159" s="8" t="n">
        <v>92.56</v>
      </c>
    </row>
    <row r="160">
      <c r="A160" s="8" t="inlineStr">
        <is>
          <t>command-task-queue</t>
        </is>
      </c>
      <c r="B160" s="8" t="inlineStr">
        <is>
          <t>javascript</t>
        </is>
      </c>
      <c r="C160" s="8" t="inlineStr">
        <is>
          <t>run2</t>
        </is>
      </c>
      <c r="D160" s="8" t="n">
        <v>92.3</v>
      </c>
    </row>
    <row r="161">
      <c r="A161" s="8" t="inlineStr">
        <is>
          <t>command-task-queue</t>
        </is>
      </c>
      <c r="B161" s="8" t="inlineStr">
        <is>
          <t>javascript</t>
        </is>
      </c>
      <c r="C161" s="8" t="inlineStr">
        <is>
          <t>run3</t>
        </is>
      </c>
      <c r="D161" s="8" t="n">
        <v>91.8</v>
      </c>
    </row>
    <row r="162">
      <c r="A162" s="8" t="inlineStr">
        <is>
          <t>command-task-queue</t>
        </is>
      </c>
      <c r="B162" s="8" t="inlineStr">
        <is>
          <t>javascript</t>
        </is>
      </c>
      <c r="C162" s="8" t="inlineStr">
        <is>
          <t>run4</t>
        </is>
      </c>
      <c r="D162" s="8" t="n">
        <v>93.59999999999999</v>
      </c>
    </row>
    <row r="163">
      <c r="A163" s="8" t="inlineStr">
        <is>
          <t>command-task-queue</t>
        </is>
      </c>
      <c r="B163" s="8" t="inlineStr">
        <is>
          <t>javascript</t>
        </is>
      </c>
      <c r="C163" s="8" t="inlineStr">
        <is>
          <t>run5</t>
        </is>
      </c>
      <c r="D163" s="8" t="n">
        <v>93.52</v>
      </c>
    </row>
    <row r="164">
      <c r="A164" s="8" t="inlineStr">
        <is>
          <t>command-task-queue</t>
        </is>
      </c>
      <c r="B164" s="8" t="inlineStr">
        <is>
          <t>cpp</t>
        </is>
      </c>
      <c r="C164" s="8" t="inlineStr">
        <is>
          <t>warmup</t>
        </is>
      </c>
      <c r="D164" s="8" t="n">
        <v>6.48</v>
      </c>
    </row>
    <row r="165">
      <c r="A165" s="8" t="inlineStr">
        <is>
          <t>command-task-queue</t>
        </is>
      </c>
      <c r="B165" s="8" t="inlineStr">
        <is>
          <t>cpp</t>
        </is>
      </c>
      <c r="C165" s="8" t="inlineStr">
        <is>
          <t>run1</t>
        </is>
      </c>
      <c r="D165" s="8" t="n">
        <v>6.18</v>
      </c>
    </row>
    <row r="166">
      <c r="A166" s="8" t="inlineStr">
        <is>
          <t>command-task-queue</t>
        </is>
      </c>
      <c r="B166" s="8" t="inlineStr">
        <is>
          <t>cpp</t>
        </is>
      </c>
      <c r="C166" s="8" t="inlineStr">
        <is>
          <t>run2</t>
        </is>
      </c>
      <c r="D166" s="8" t="n">
        <v>6.16</v>
      </c>
    </row>
    <row r="167">
      <c r="A167" s="8" t="inlineStr">
        <is>
          <t>command-task-queue</t>
        </is>
      </c>
      <c r="B167" s="8" t="inlineStr">
        <is>
          <t>cpp</t>
        </is>
      </c>
      <c r="C167" s="8" t="inlineStr">
        <is>
          <t>run3</t>
        </is>
      </c>
      <c r="D167" s="8" t="n">
        <v>5.56</v>
      </c>
    </row>
    <row r="168">
      <c r="A168" s="8" t="inlineStr">
        <is>
          <t>command-task-queue</t>
        </is>
      </c>
      <c r="B168" s="8" t="inlineStr">
        <is>
          <t>cpp</t>
        </is>
      </c>
      <c r="C168" s="8" t="inlineStr">
        <is>
          <t>run4</t>
        </is>
      </c>
      <c r="D168" s="8" t="n">
        <v>4.67</v>
      </c>
    </row>
    <row r="169">
      <c r="A169" s="8" t="inlineStr">
        <is>
          <t>command-task-queue</t>
        </is>
      </c>
      <c r="B169" s="8" t="inlineStr">
        <is>
          <t>cpp</t>
        </is>
      </c>
      <c r="C169" s="8" t="inlineStr">
        <is>
          <t>run5</t>
        </is>
      </c>
      <c r="D169" s="8" t="n">
        <v>4.63</v>
      </c>
    </row>
    <row r="170">
      <c r="A170" s="8" t="inlineStr">
        <is>
          <t>null-object-listener</t>
        </is>
      </c>
      <c r="B170" s="8" t="inlineStr">
        <is>
          <t>java</t>
        </is>
      </c>
      <c r="C170" s="8" t="inlineStr">
        <is>
          <t>warmup</t>
        </is>
      </c>
      <c r="D170" s="8" t="n">
        <v>32.89</v>
      </c>
    </row>
    <row r="171">
      <c r="A171" s="8" t="inlineStr">
        <is>
          <t>null-object-listener</t>
        </is>
      </c>
      <c r="B171" s="8" t="inlineStr">
        <is>
          <t>java</t>
        </is>
      </c>
      <c r="C171" s="8" t="inlineStr">
        <is>
          <t>run1</t>
        </is>
      </c>
      <c r="D171" s="8" t="n">
        <v>33.25</v>
      </c>
    </row>
    <row r="172">
      <c r="A172" s="8" t="inlineStr">
        <is>
          <t>null-object-listener</t>
        </is>
      </c>
      <c r="B172" s="8" t="inlineStr">
        <is>
          <t>java</t>
        </is>
      </c>
      <c r="C172" s="8" t="inlineStr">
        <is>
          <t>run2</t>
        </is>
      </c>
      <c r="D172" s="8" t="n">
        <v>31.98</v>
      </c>
    </row>
    <row r="173">
      <c r="A173" s="8" t="inlineStr">
        <is>
          <t>null-object-listener</t>
        </is>
      </c>
      <c r="B173" s="8" t="inlineStr">
        <is>
          <t>java</t>
        </is>
      </c>
      <c r="C173" s="8" t="inlineStr">
        <is>
          <t>run3</t>
        </is>
      </c>
      <c r="D173" s="8" t="n">
        <v>31.82</v>
      </c>
    </row>
    <row r="174">
      <c r="A174" s="8" t="inlineStr">
        <is>
          <t>null-object-listener</t>
        </is>
      </c>
      <c r="B174" s="8" t="inlineStr">
        <is>
          <t>java</t>
        </is>
      </c>
      <c r="C174" s="8" t="inlineStr">
        <is>
          <t>run4</t>
        </is>
      </c>
      <c r="D174" s="8" t="n">
        <v>32.09</v>
      </c>
    </row>
    <row r="175">
      <c r="A175" s="8" t="inlineStr">
        <is>
          <t>null-object-listener</t>
        </is>
      </c>
      <c r="B175" s="8" t="inlineStr">
        <is>
          <t>java</t>
        </is>
      </c>
      <c r="C175" s="8" t="inlineStr">
        <is>
          <t>run5</t>
        </is>
      </c>
      <c r="D175" s="8" t="n">
        <v>32.56</v>
      </c>
    </row>
    <row r="176">
      <c r="A176" s="8" t="inlineStr">
        <is>
          <t>null-object-listener</t>
        </is>
      </c>
      <c r="B176" s="8" t="inlineStr">
        <is>
          <t>python</t>
        </is>
      </c>
      <c r="C176" s="8" t="inlineStr">
        <is>
          <t>warmup</t>
        </is>
      </c>
      <c r="D176" s="8" t="n">
        <v>21.24</v>
      </c>
    </row>
    <row r="177">
      <c r="A177" s="8" t="inlineStr">
        <is>
          <t>null-object-listener</t>
        </is>
      </c>
      <c r="B177" s="8" t="inlineStr">
        <is>
          <t>python</t>
        </is>
      </c>
      <c r="C177" s="8" t="inlineStr">
        <is>
          <t>run1</t>
        </is>
      </c>
      <c r="D177" s="8" t="n">
        <v>20.83</v>
      </c>
    </row>
    <row r="178">
      <c r="A178" s="8" t="inlineStr">
        <is>
          <t>null-object-listener</t>
        </is>
      </c>
      <c r="B178" s="8" t="inlineStr">
        <is>
          <t>python</t>
        </is>
      </c>
      <c r="C178" s="8" t="inlineStr">
        <is>
          <t>run2</t>
        </is>
      </c>
      <c r="D178" s="8" t="n">
        <v>21.28</v>
      </c>
    </row>
    <row r="179">
      <c r="A179" s="8" t="inlineStr">
        <is>
          <t>null-object-listener</t>
        </is>
      </c>
      <c r="B179" s="8" t="inlineStr">
        <is>
          <t>python</t>
        </is>
      </c>
      <c r="C179" s="8" t="inlineStr">
        <is>
          <t>run3</t>
        </is>
      </c>
      <c r="D179" s="8" t="n">
        <v>21.01</v>
      </c>
    </row>
    <row r="180">
      <c r="A180" s="8" t="inlineStr">
        <is>
          <t>null-object-listener</t>
        </is>
      </c>
      <c r="B180" s="8" t="inlineStr">
        <is>
          <t>python</t>
        </is>
      </c>
      <c r="C180" s="8" t="inlineStr">
        <is>
          <t>run4</t>
        </is>
      </c>
      <c r="D180" s="8" t="n">
        <v>20.73</v>
      </c>
    </row>
    <row r="181">
      <c r="A181" s="8" t="inlineStr">
        <is>
          <t>null-object-listener</t>
        </is>
      </c>
      <c r="B181" s="8" t="inlineStr">
        <is>
          <t>python</t>
        </is>
      </c>
      <c r="C181" s="8" t="inlineStr">
        <is>
          <t>run5</t>
        </is>
      </c>
      <c r="D181" s="8" t="n">
        <v>21.3</v>
      </c>
    </row>
    <row r="182">
      <c r="A182" s="8" t="inlineStr">
        <is>
          <t>null-object-listener</t>
        </is>
      </c>
      <c r="B182" s="8" t="inlineStr">
        <is>
          <t>javascript</t>
        </is>
      </c>
      <c r="C182" s="8" t="inlineStr">
        <is>
          <t>warmup</t>
        </is>
      </c>
      <c r="D182" s="8" t="n">
        <v>91.89</v>
      </c>
    </row>
    <row r="183">
      <c r="A183" s="8" t="inlineStr">
        <is>
          <t>null-object-listener</t>
        </is>
      </c>
      <c r="B183" s="8" t="inlineStr">
        <is>
          <t>javascript</t>
        </is>
      </c>
      <c r="C183" s="8" t="inlineStr">
        <is>
          <t>run1</t>
        </is>
      </c>
      <c r="D183" s="8" t="n">
        <v>92.66</v>
      </c>
    </row>
    <row r="184">
      <c r="A184" s="8" t="inlineStr">
        <is>
          <t>null-object-listener</t>
        </is>
      </c>
      <c r="B184" s="8" t="inlineStr">
        <is>
          <t>javascript</t>
        </is>
      </c>
      <c r="C184" s="8" t="inlineStr">
        <is>
          <t>run2</t>
        </is>
      </c>
      <c r="D184" s="8" t="n">
        <v>91.73999999999999</v>
      </c>
    </row>
    <row r="185">
      <c r="A185" s="8" t="inlineStr">
        <is>
          <t>null-object-listener</t>
        </is>
      </c>
      <c r="B185" s="8" t="inlineStr">
        <is>
          <t>javascript</t>
        </is>
      </c>
      <c r="C185" s="8" t="inlineStr">
        <is>
          <t>run3</t>
        </is>
      </c>
      <c r="D185" s="8" t="n">
        <v>90.72</v>
      </c>
    </row>
    <row r="186">
      <c r="A186" s="8" t="inlineStr">
        <is>
          <t>null-object-listener</t>
        </is>
      </c>
      <c r="B186" s="8" t="inlineStr">
        <is>
          <t>javascript</t>
        </is>
      </c>
      <c r="C186" s="8" t="inlineStr">
        <is>
          <t>run4</t>
        </is>
      </c>
      <c r="D186" s="8" t="n">
        <v>91.14</v>
      </c>
    </row>
    <row r="187">
      <c r="A187" s="8" t="inlineStr">
        <is>
          <t>null-object-listener</t>
        </is>
      </c>
      <c r="B187" s="8" t="inlineStr">
        <is>
          <t>javascript</t>
        </is>
      </c>
      <c r="C187" s="8" t="inlineStr">
        <is>
          <t>run5</t>
        </is>
      </c>
      <c r="D187" s="8" t="n">
        <v>92.91</v>
      </c>
    </row>
    <row r="188">
      <c r="A188" s="8" t="inlineStr">
        <is>
          <t>null-object-listener</t>
        </is>
      </c>
      <c r="B188" s="8" t="inlineStr">
        <is>
          <t>cpp</t>
        </is>
      </c>
      <c r="C188" s="8" t="inlineStr">
        <is>
          <t>warmup</t>
        </is>
      </c>
      <c r="D188" s="8" t="n">
        <v>6.23</v>
      </c>
    </row>
    <row r="189">
      <c r="A189" s="8" t="inlineStr">
        <is>
          <t>null-object-listener</t>
        </is>
      </c>
      <c r="B189" s="8" t="inlineStr">
        <is>
          <t>cpp</t>
        </is>
      </c>
      <c r="C189" s="8" t="inlineStr">
        <is>
          <t>run1</t>
        </is>
      </c>
      <c r="D189" s="8" t="n">
        <v>5.79</v>
      </c>
    </row>
    <row r="190">
      <c r="A190" s="8" t="inlineStr">
        <is>
          <t>null-object-listener</t>
        </is>
      </c>
      <c r="B190" s="8" t="inlineStr">
        <is>
          <t>cpp</t>
        </is>
      </c>
      <c r="C190" s="8" t="inlineStr">
        <is>
          <t>run2</t>
        </is>
      </c>
      <c r="D190" s="8" t="n">
        <v>5.7</v>
      </c>
    </row>
    <row r="191">
      <c r="A191" s="8" t="inlineStr">
        <is>
          <t>null-object-listener</t>
        </is>
      </c>
      <c r="B191" s="8" t="inlineStr">
        <is>
          <t>cpp</t>
        </is>
      </c>
      <c r="C191" s="8" t="inlineStr">
        <is>
          <t>run3</t>
        </is>
      </c>
      <c r="D191" s="8" t="n">
        <v>5.37</v>
      </c>
    </row>
    <row r="192">
      <c r="A192" s="8" t="inlineStr">
        <is>
          <t>null-object-listener</t>
        </is>
      </c>
      <c r="B192" s="8" t="inlineStr">
        <is>
          <t>cpp</t>
        </is>
      </c>
      <c r="C192" s="8" t="inlineStr">
        <is>
          <t>run4</t>
        </is>
      </c>
      <c r="D192" s="8" t="n">
        <v>5.13</v>
      </c>
    </row>
    <row r="193">
      <c r="A193" s="8" t="inlineStr">
        <is>
          <t>null-object-listener</t>
        </is>
      </c>
      <c r="B193" s="8" t="inlineStr">
        <is>
          <t>cpp</t>
        </is>
      </c>
      <c r="C193" s="8" t="inlineStr">
        <is>
          <t>run5</t>
        </is>
      </c>
      <c r="D193" s="8" t="n">
        <v>4.9</v>
      </c>
    </row>
    <row r="194">
      <c r="A194" s="8" t="inlineStr">
        <is>
          <t>chain-of-responsibility-interceptors</t>
        </is>
      </c>
      <c r="B194" s="8" t="inlineStr">
        <is>
          <t>java</t>
        </is>
      </c>
      <c r="C194" s="8" t="inlineStr">
        <is>
          <t>warmup</t>
        </is>
      </c>
      <c r="D194" s="8" t="n">
        <v>31.96</v>
      </c>
    </row>
    <row r="195">
      <c r="A195" s="8" t="inlineStr">
        <is>
          <t>chain-of-responsibility-interceptors</t>
        </is>
      </c>
      <c r="B195" s="8" t="inlineStr">
        <is>
          <t>java</t>
        </is>
      </c>
      <c r="C195" s="8" t="inlineStr">
        <is>
          <t>run1</t>
        </is>
      </c>
      <c r="D195" s="8" t="n">
        <v>32.5</v>
      </c>
    </row>
    <row r="196">
      <c r="A196" s="8" t="inlineStr">
        <is>
          <t>chain-of-responsibility-interceptors</t>
        </is>
      </c>
      <c r="B196" s="8" t="inlineStr">
        <is>
          <t>java</t>
        </is>
      </c>
      <c r="C196" s="8" t="inlineStr">
        <is>
          <t>run2</t>
        </is>
      </c>
      <c r="D196" s="8" t="n">
        <v>31.84</v>
      </c>
    </row>
    <row r="197">
      <c r="A197" s="8" t="inlineStr">
        <is>
          <t>chain-of-responsibility-interceptors</t>
        </is>
      </c>
      <c r="B197" s="8" t="inlineStr">
        <is>
          <t>java</t>
        </is>
      </c>
      <c r="C197" s="8" t="inlineStr">
        <is>
          <t>run3</t>
        </is>
      </c>
      <c r="D197" s="8" t="n">
        <v>31.94</v>
      </c>
    </row>
    <row r="198">
      <c r="A198" s="8" t="inlineStr">
        <is>
          <t>chain-of-responsibility-interceptors</t>
        </is>
      </c>
      <c r="B198" s="8" t="inlineStr">
        <is>
          <t>java</t>
        </is>
      </c>
      <c r="C198" s="8" t="inlineStr">
        <is>
          <t>run4</t>
        </is>
      </c>
      <c r="D198" s="8" t="n">
        <v>32.15</v>
      </c>
    </row>
    <row r="199">
      <c r="A199" s="8" t="inlineStr">
        <is>
          <t>chain-of-responsibility-interceptors</t>
        </is>
      </c>
      <c r="B199" s="8" t="inlineStr">
        <is>
          <t>java</t>
        </is>
      </c>
      <c r="C199" s="8" t="inlineStr">
        <is>
          <t>run5</t>
        </is>
      </c>
      <c r="D199" s="8" t="n">
        <v>32</v>
      </c>
    </row>
    <row r="200">
      <c r="A200" s="8" t="inlineStr">
        <is>
          <t>chain-of-responsibility-interceptors</t>
        </is>
      </c>
      <c r="B200" s="8" t="inlineStr">
        <is>
          <t>python</t>
        </is>
      </c>
      <c r="C200" s="8" t="inlineStr">
        <is>
          <t>warmup</t>
        </is>
      </c>
      <c r="D200" s="8" t="n">
        <v>21.6</v>
      </c>
    </row>
    <row r="201">
      <c r="A201" s="8" t="inlineStr">
        <is>
          <t>chain-of-responsibility-interceptors</t>
        </is>
      </c>
      <c r="B201" s="8" t="inlineStr">
        <is>
          <t>python</t>
        </is>
      </c>
      <c r="C201" s="8" t="inlineStr">
        <is>
          <t>run1</t>
        </is>
      </c>
      <c r="D201" s="8" t="n">
        <v>21.68</v>
      </c>
    </row>
    <row r="202">
      <c r="A202" s="8" t="inlineStr">
        <is>
          <t>chain-of-responsibility-interceptors</t>
        </is>
      </c>
      <c r="B202" s="8" t="inlineStr">
        <is>
          <t>python</t>
        </is>
      </c>
      <c r="C202" s="8" t="inlineStr">
        <is>
          <t>run2</t>
        </is>
      </c>
      <c r="D202" s="8" t="n">
        <v>21.81</v>
      </c>
    </row>
    <row r="203">
      <c r="A203" s="8" t="inlineStr">
        <is>
          <t>chain-of-responsibility-interceptors</t>
        </is>
      </c>
      <c r="B203" s="8" t="inlineStr">
        <is>
          <t>python</t>
        </is>
      </c>
      <c r="C203" s="8" t="inlineStr">
        <is>
          <t>run3</t>
        </is>
      </c>
      <c r="D203" s="8" t="n">
        <v>21.16</v>
      </c>
    </row>
    <row r="204">
      <c r="A204" s="8" t="inlineStr">
        <is>
          <t>chain-of-responsibility-interceptors</t>
        </is>
      </c>
      <c r="B204" s="8" t="inlineStr">
        <is>
          <t>python</t>
        </is>
      </c>
      <c r="C204" s="8" t="inlineStr">
        <is>
          <t>run4</t>
        </is>
      </c>
      <c r="D204" s="8" t="n">
        <v>21.11</v>
      </c>
    </row>
    <row r="205">
      <c r="A205" s="8" t="inlineStr">
        <is>
          <t>chain-of-responsibility-interceptors</t>
        </is>
      </c>
      <c r="B205" s="8" t="inlineStr">
        <is>
          <t>python</t>
        </is>
      </c>
      <c r="C205" s="8" t="inlineStr">
        <is>
          <t>run5</t>
        </is>
      </c>
      <c r="D205" s="8" t="n">
        <v>21.5</v>
      </c>
    </row>
    <row r="206">
      <c r="A206" s="8" t="inlineStr">
        <is>
          <t>chain-of-responsibility-interceptors</t>
        </is>
      </c>
      <c r="B206" s="8" t="inlineStr">
        <is>
          <t>javascript</t>
        </is>
      </c>
      <c r="C206" s="8" t="inlineStr">
        <is>
          <t>warmup</t>
        </is>
      </c>
      <c r="D206" s="8" t="n">
        <v>93.65000000000001</v>
      </c>
    </row>
    <row r="207">
      <c r="A207" s="8" t="inlineStr">
        <is>
          <t>chain-of-responsibility-interceptors</t>
        </is>
      </c>
      <c r="B207" s="8" t="inlineStr">
        <is>
          <t>javascript</t>
        </is>
      </c>
      <c r="C207" s="8" t="inlineStr">
        <is>
          <t>run1</t>
        </is>
      </c>
      <c r="D207" s="8" t="n">
        <v>91.98999999999999</v>
      </c>
    </row>
    <row r="208">
      <c r="A208" s="8" t="inlineStr">
        <is>
          <t>chain-of-responsibility-interceptors</t>
        </is>
      </c>
      <c r="B208" s="8" t="inlineStr">
        <is>
          <t>javascript</t>
        </is>
      </c>
      <c r="C208" s="8" t="inlineStr">
        <is>
          <t>run2</t>
        </is>
      </c>
      <c r="D208" s="8" t="n">
        <v>90.92</v>
      </c>
    </row>
    <row r="209">
      <c r="A209" s="8" t="inlineStr">
        <is>
          <t>chain-of-responsibility-interceptors</t>
        </is>
      </c>
      <c r="B209" s="8" t="inlineStr">
        <is>
          <t>javascript</t>
        </is>
      </c>
      <c r="C209" s="8" t="inlineStr">
        <is>
          <t>run3</t>
        </is>
      </c>
      <c r="D209" s="8" t="n">
        <v>94.79000000000001</v>
      </c>
    </row>
    <row r="210">
      <c r="A210" s="8" t="inlineStr">
        <is>
          <t>chain-of-responsibility-interceptors</t>
        </is>
      </c>
      <c r="B210" s="8" t="inlineStr">
        <is>
          <t>javascript</t>
        </is>
      </c>
      <c r="C210" s="8" t="inlineStr">
        <is>
          <t>run4</t>
        </is>
      </c>
      <c r="D210" s="8" t="n">
        <v>91.23</v>
      </c>
    </row>
    <row r="211">
      <c r="A211" s="8" t="inlineStr">
        <is>
          <t>chain-of-responsibility-interceptors</t>
        </is>
      </c>
      <c r="B211" s="8" t="inlineStr">
        <is>
          <t>javascript</t>
        </is>
      </c>
      <c r="C211" s="8" t="inlineStr">
        <is>
          <t>run5</t>
        </is>
      </c>
      <c r="D211" s="8" t="n">
        <v>91.44</v>
      </c>
    </row>
    <row r="212">
      <c r="A212" s="8" t="inlineStr">
        <is>
          <t>chain-of-responsibility-interceptors</t>
        </is>
      </c>
      <c r="B212" s="8" t="inlineStr">
        <is>
          <t>cpp</t>
        </is>
      </c>
      <c r="C212" s="8" t="inlineStr">
        <is>
          <t>warmup</t>
        </is>
      </c>
      <c r="D212" s="8" t="n">
        <v>6.47</v>
      </c>
    </row>
    <row r="213">
      <c r="A213" s="8" t="inlineStr">
        <is>
          <t>chain-of-responsibility-interceptors</t>
        </is>
      </c>
      <c r="B213" s="8" t="inlineStr">
        <is>
          <t>cpp</t>
        </is>
      </c>
      <c r="C213" s="8" t="inlineStr">
        <is>
          <t>run1</t>
        </is>
      </c>
      <c r="D213" s="8" t="n">
        <v>5.99</v>
      </c>
    </row>
    <row r="214">
      <c r="A214" s="8" t="inlineStr">
        <is>
          <t>chain-of-responsibility-interceptors</t>
        </is>
      </c>
      <c r="B214" s="8" t="inlineStr">
        <is>
          <t>cpp</t>
        </is>
      </c>
      <c r="C214" s="8" t="inlineStr">
        <is>
          <t>run2</t>
        </is>
      </c>
      <c r="D214" s="8" t="n">
        <v>5.68</v>
      </c>
    </row>
    <row r="215">
      <c r="A215" s="8" t="inlineStr">
        <is>
          <t>chain-of-responsibility-interceptors</t>
        </is>
      </c>
      <c r="B215" s="8" t="inlineStr">
        <is>
          <t>cpp</t>
        </is>
      </c>
      <c r="C215" s="8" t="inlineStr">
        <is>
          <t>run3</t>
        </is>
      </c>
      <c r="D215" s="8" t="n">
        <v>5.58</v>
      </c>
    </row>
    <row r="216">
      <c r="A216" s="8" t="inlineStr">
        <is>
          <t>chain-of-responsibility-interceptors</t>
        </is>
      </c>
      <c r="B216" s="8" t="inlineStr">
        <is>
          <t>cpp</t>
        </is>
      </c>
      <c r="C216" s="8" t="inlineStr">
        <is>
          <t>run4</t>
        </is>
      </c>
      <c r="D216" s="8" t="n">
        <v>5.23</v>
      </c>
    </row>
    <row r="217">
      <c r="A217" s="8" t="inlineStr">
        <is>
          <t>chain-of-responsibility-interceptors</t>
        </is>
      </c>
      <c r="B217" s="8" t="inlineStr">
        <is>
          <t>cpp</t>
        </is>
      </c>
      <c r="C217" s="8" t="inlineStr">
        <is>
          <t>run5</t>
        </is>
      </c>
      <c r="D217" s="8" t="n">
        <v>4.98</v>
      </c>
    </row>
    <row r="218">
      <c r="A218" s="8" t="inlineStr">
        <is>
          <t>factory-method-executors</t>
        </is>
      </c>
      <c r="B218" s="8" t="inlineStr">
        <is>
          <t>java</t>
        </is>
      </c>
      <c r="C218" s="8" t="inlineStr">
        <is>
          <t>warmup</t>
        </is>
      </c>
      <c r="D218" s="8" t="n">
        <v>34.42</v>
      </c>
    </row>
    <row r="219">
      <c r="A219" s="8" t="inlineStr">
        <is>
          <t>factory-method-executors</t>
        </is>
      </c>
      <c r="B219" s="8" t="inlineStr">
        <is>
          <t>java</t>
        </is>
      </c>
      <c r="C219" s="8" t="inlineStr">
        <is>
          <t>run1</t>
        </is>
      </c>
      <c r="D219" s="8" t="n">
        <v>35.83</v>
      </c>
    </row>
    <row r="220">
      <c r="A220" s="8" t="inlineStr">
        <is>
          <t>factory-method-executors</t>
        </is>
      </c>
      <c r="B220" s="8" t="inlineStr">
        <is>
          <t>java</t>
        </is>
      </c>
      <c r="C220" s="8" t="inlineStr">
        <is>
          <t>run2</t>
        </is>
      </c>
      <c r="D220" s="8" t="n">
        <v>34.37</v>
      </c>
    </row>
    <row r="221">
      <c r="A221" s="8" t="inlineStr">
        <is>
          <t>factory-method-executors</t>
        </is>
      </c>
      <c r="B221" s="8" t="inlineStr">
        <is>
          <t>java</t>
        </is>
      </c>
      <c r="C221" s="8" t="inlineStr">
        <is>
          <t>run3</t>
        </is>
      </c>
      <c r="D221" s="8" t="n">
        <v>34.29</v>
      </c>
    </row>
    <row r="222">
      <c r="A222" s="8" t="inlineStr">
        <is>
          <t>factory-method-executors</t>
        </is>
      </c>
      <c r="B222" s="8" t="inlineStr">
        <is>
          <t>java</t>
        </is>
      </c>
      <c r="C222" s="8" t="inlineStr">
        <is>
          <t>run4</t>
        </is>
      </c>
      <c r="D222" s="8" t="n">
        <v>34.17</v>
      </c>
    </row>
    <row r="223">
      <c r="A223" s="8" t="inlineStr">
        <is>
          <t>factory-method-executors</t>
        </is>
      </c>
      <c r="B223" s="8" t="inlineStr">
        <is>
          <t>java</t>
        </is>
      </c>
      <c r="C223" s="8" t="inlineStr">
        <is>
          <t>run5</t>
        </is>
      </c>
      <c r="D223" s="8" t="n">
        <v>35.37</v>
      </c>
    </row>
    <row r="224">
      <c r="A224" s="8" t="inlineStr">
        <is>
          <t>factory-method-executors</t>
        </is>
      </c>
      <c r="B224" s="8" t="inlineStr">
        <is>
          <t>python</t>
        </is>
      </c>
      <c r="C224" s="8" t="inlineStr">
        <is>
          <t>warmup</t>
        </is>
      </c>
      <c r="D224" s="8" t="n">
        <v>21.98</v>
      </c>
    </row>
    <row r="225">
      <c r="A225" s="8" t="inlineStr">
        <is>
          <t>factory-method-executors</t>
        </is>
      </c>
      <c r="B225" s="8" t="inlineStr">
        <is>
          <t>python</t>
        </is>
      </c>
      <c r="C225" s="8" t="inlineStr">
        <is>
          <t>run1</t>
        </is>
      </c>
      <c r="D225" s="8" t="n">
        <v>21.57</v>
      </c>
    </row>
    <row r="226">
      <c r="A226" s="8" t="inlineStr">
        <is>
          <t>factory-method-executors</t>
        </is>
      </c>
      <c r="B226" s="8" t="inlineStr">
        <is>
          <t>python</t>
        </is>
      </c>
      <c r="C226" s="8" t="inlineStr">
        <is>
          <t>run2</t>
        </is>
      </c>
      <c r="D226" s="8" t="n">
        <v>21.17</v>
      </c>
    </row>
    <row r="227">
      <c r="A227" s="8" t="inlineStr">
        <is>
          <t>factory-method-executors</t>
        </is>
      </c>
      <c r="B227" s="8" t="inlineStr">
        <is>
          <t>python</t>
        </is>
      </c>
      <c r="C227" s="8" t="inlineStr">
        <is>
          <t>run3</t>
        </is>
      </c>
      <c r="D227" s="8" t="n">
        <v>21.55</v>
      </c>
    </row>
    <row r="228">
      <c r="A228" s="8" t="inlineStr">
        <is>
          <t>factory-method-executors</t>
        </is>
      </c>
      <c r="B228" s="8" t="inlineStr">
        <is>
          <t>python</t>
        </is>
      </c>
      <c r="C228" s="8" t="inlineStr">
        <is>
          <t>run4</t>
        </is>
      </c>
      <c r="D228" s="8" t="n">
        <v>21.64</v>
      </c>
    </row>
    <row r="229">
      <c r="A229" s="8" t="inlineStr">
        <is>
          <t>factory-method-executors</t>
        </is>
      </c>
      <c r="B229" s="8" t="inlineStr">
        <is>
          <t>python</t>
        </is>
      </c>
      <c r="C229" s="8" t="inlineStr">
        <is>
          <t>run5</t>
        </is>
      </c>
      <c r="D229" s="8" t="n">
        <v>20.93</v>
      </c>
    </row>
    <row r="230">
      <c r="A230" s="8" t="inlineStr">
        <is>
          <t>factory-method-executors</t>
        </is>
      </c>
      <c r="B230" s="8" t="inlineStr">
        <is>
          <t>javascript</t>
        </is>
      </c>
      <c r="C230" s="8" t="inlineStr">
        <is>
          <t>warmup</t>
        </is>
      </c>
      <c r="D230" s="8" t="n">
        <v>91.87</v>
      </c>
    </row>
    <row r="231">
      <c r="A231" s="8" t="inlineStr">
        <is>
          <t>factory-method-executors</t>
        </is>
      </c>
      <c r="B231" s="8" t="inlineStr">
        <is>
          <t>javascript</t>
        </is>
      </c>
      <c r="C231" s="8" t="inlineStr">
        <is>
          <t>run1</t>
        </is>
      </c>
      <c r="D231" s="8" t="n">
        <v>94.5</v>
      </c>
    </row>
    <row r="232">
      <c r="A232" s="8" t="inlineStr">
        <is>
          <t>factory-method-executors</t>
        </is>
      </c>
      <c r="B232" s="8" t="inlineStr">
        <is>
          <t>javascript</t>
        </is>
      </c>
      <c r="C232" s="8" t="inlineStr">
        <is>
          <t>run2</t>
        </is>
      </c>
      <c r="D232" s="8" t="n">
        <v>92.76000000000001</v>
      </c>
    </row>
    <row r="233">
      <c r="A233" s="8" t="inlineStr">
        <is>
          <t>factory-method-executors</t>
        </is>
      </c>
      <c r="B233" s="8" t="inlineStr">
        <is>
          <t>javascript</t>
        </is>
      </c>
      <c r="C233" s="8" t="inlineStr">
        <is>
          <t>run3</t>
        </is>
      </c>
      <c r="D233" s="8" t="n">
        <v>92.75</v>
      </c>
    </row>
    <row r="234">
      <c r="A234" s="8" t="inlineStr">
        <is>
          <t>factory-method-executors</t>
        </is>
      </c>
      <c r="B234" s="8" t="inlineStr">
        <is>
          <t>javascript</t>
        </is>
      </c>
      <c r="C234" s="8" t="inlineStr">
        <is>
          <t>run4</t>
        </is>
      </c>
      <c r="D234" s="8" t="n">
        <v>92.67</v>
      </c>
    </row>
    <row r="235">
      <c r="A235" s="8" t="inlineStr">
        <is>
          <t>factory-method-executors</t>
        </is>
      </c>
      <c r="B235" s="8" t="inlineStr">
        <is>
          <t>javascript</t>
        </is>
      </c>
      <c r="C235" s="8" t="inlineStr">
        <is>
          <t>run5</t>
        </is>
      </c>
      <c r="D235" s="8" t="n">
        <v>93.65000000000001</v>
      </c>
    </row>
    <row r="236">
      <c r="A236" s="8" t="inlineStr">
        <is>
          <t>factory-method-executors</t>
        </is>
      </c>
      <c r="B236" s="8" t="inlineStr">
        <is>
          <t>cpp</t>
        </is>
      </c>
      <c r="C236" s="8" t="inlineStr">
        <is>
          <t>warmup</t>
        </is>
      </c>
      <c r="D236" s="8" t="n">
        <v>6.08</v>
      </c>
    </row>
    <row r="237">
      <c r="A237" s="8" t="inlineStr">
        <is>
          <t>factory-method-executors</t>
        </is>
      </c>
      <c r="B237" s="8" t="inlineStr">
        <is>
          <t>cpp</t>
        </is>
      </c>
      <c r="C237" s="8" t="inlineStr">
        <is>
          <t>run1</t>
        </is>
      </c>
      <c r="D237" s="8" t="n">
        <v>5.81</v>
      </c>
    </row>
    <row r="238">
      <c r="A238" s="8" t="inlineStr">
        <is>
          <t>factory-method-executors</t>
        </is>
      </c>
      <c r="B238" s="8" t="inlineStr">
        <is>
          <t>cpp</t>
        </is>
      </c>
      <c r="C238" s="8" t="inlineStr">
        <is>
          <t>run2</t>
        </is>
      </c>
      <c r="D238" s="8" t="n">
        <v>5.6</v>
      </c>
    </row>
    <row r="239">
      <c r="A239" s="8" t="inlineStr">
        <is>
          <t>factory-method-executors</t>
        </is>
      </c>
      <c r="B239" s="8" t="inlineStr">
        <is>
          <t>cpp</t>
        </is>
      </c>
      <c r="C239" s="8" t="inlineStr">
        <is>
          <t>run3</t>
        </is>
      </c>
      <c r="D239" s="8" t="n">
        <v>4.83</v>
      </c>
    </row>
    <row r="240">
      <c r="A240" s="8" t="inlineStr">
        <is>
          <t>factory-method-executors</t>
        </is>
      </c>
      <c r="B240" s="8" t="inlineStr">
        <is>
          <t>cpp</t>
        </is>
      </c>
      <c r="C240" s="8" t="inlineStr">
        <is>
          <t>run4</t>
        </is>
      </c>
      <c r="D240" s="8" t="n">
        <v>4.56</v>
      </c>
    </row>
    <row r="241">
      <c r="A241" s="8" t="inlineStr">
        <is>
          <t>factory-method-executors</t>
        </is>
      </c>
      <c r="B241" s="8" t="inlineStr">
        <is>
          <t>cpp</t>
        </is>
      </c>
      <c r="C241" s="8" t="inlineStr">
        <is>
          <t>run5</t>
        </is>
      </c>
      <c r="D241" s="8" t="n">
        <v>4.69</v>
      </c>
    </row>
    <row r="243">
      <c r="A243" s="5" t="inlineStr">
        <is>
          <t>Source: Part 3 raw times: 1 warm-up + 5 runs per program</t>
        </is>
      </c>
    </row>
  </sheetData>
  <autoFilter ref="A1:D24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4" customWidth="1" min="3" max="3"/>
    <col width="60" customWidth="1" min="4" max="4"/>
    <col width="43" customWidth="1" min="5" max="5"/>
    <col width="60" customWidth="1" min="6" max="6"/>
    <col width="60" customWidth="1" min="7" max="7"/>
  </cols>
  <sheetData>
    <row r="1">
      <c r="A1" s="7" t="inlineStr">
        <is>
          <t>part</t>
        </is>
      </c>
      <c r="B1" s="7" t="inlineStr">
        <is>
          <t>model_and_date</t>
        </is>
      </c>
      <c r="C1" s="7" t="inlineStr">
        <is>
          <t>prompt_file</t>
        </is>
      </c>
      <c r="D1" s="7" t="inlineStr">
        <is>
          <t>input_file</t>
        </is>
      </c>
      <c r="E1" s="7" t="inlineStr">
        <is>
          <t>output_file</t>
        </is>
      </c>
      <c r="F1" s="7" t="inlineStr">
        <is>
          <t>evaluation</t>
        </is>
      </c>
      <c r="G1" s="7" t="inlineStr">
        <is>
          <t>verification_file</t>
        </is>
      </c>
    </row>
    <row r="2">
      <c r="A2" s="8" t="inlineStr">
        <is>
          <t>Part 1 - pattern discovery: prompt 1: map files and flow per area</t>
        </is>
      </c>
      <c r="B2" s="8" t="inlineStr">
        <is>
          <t>Claude Opus 5.5 (claude.ai, Claude Code on the web) - 2026-10-10</t>
        </is>
      </c>
      <c r="C2" s="8" t="inlineStr">
        <is>
          <t>Part1/llm/prompt_1_files.txt</t>
        </is>
      </c>
      <c r="D2" s="8" t="inlineStr">
        <is>
          <t>data/code/ (JUnit 6.1.3 at f59f60d; the four modules, src/main/java)</t>
        </is>
      </c>
      <c r="E2" s="8" t="inlineStr">
        <is>
          <t>Part1/llm/output_1_files.md</t>
        </is>
      </c>
      <c r="F2" s="8" t="inlineStr">
        <is>
          <t>correct: all 157 full paths and 262 short file names exist at the commit; 6 behavioural claims spot-checked in source and correct (P1-01..P1-08). Prompt written by me, adapted from a suggestion by Claude.</t>
        </is>
      </c>
      <c r="G2" s="8" t="inlineStr">
        <is>
          <t>Part1/evidence/verification.csv</t>
        </is>
      </c>
    </row>
    <row r="3">
      <c r="A3" s="8" t="inlineStr">
        <is>
          <t>Part 1 - pattern discovery: prompt 2: simple explanation of the Area A flow</t>
        </is>
      </c>
      <c r="B3" s="8" t="inlineStr">
        <is>
          <t>Claude Opus 5.5 (claude.ai, Claude Code on the web) - 2026-10-10</t>
        </is>
      </c>
      <c r="C3" s="8" t="inlineStr">
        <is>
          <t>Part1/llm/prompt_2_areaA_flow.txt</t>
        </is>
      </c>
      <c r="D3" s="8" t="inlineStr">
        <is>
          <t>data/code/; Part1/llm/output_1_files.md (same chat)</t>
        </is>
      </c>
      <c r="E3" s="8" t="inlineStr">
        <is>
          <t>Part1/llm/output_2_areaA_flow.md</t>
        </is>
      </c>
      <c r="F3" s="8" t="inlineStr">
        <is>
          <t>correct: all 8 claims about the discovery flow checked in source (P2-01..P2-08). Prompt written by me.</t>
        </is>
      </c>
      <c r="G3" s="8" t="inlineStr">
        <is>
          <t>Part1/evidence/verification.csv</t>
        </is>
      </c>
    </row>
    <row r="4">
      <c r="A4" s="8" t="inlineStr">
        <is>
          <t>Part 1 - pattern discovery: prompt 3: patterns in Area A</t>
        </is>
      </c>
      <c r="B4" s="8" t="inlineStr">
        <is>
          <t>Claude Opus 5.5 (claude.ai, Claude Code on the web) - 2026-10-10</t>
        </is>
      </c>
      <c r="C4" s="8" t="inlineStr">
        <is>
          <t>Part1/llm/prompt_3_areaA_patterns.txt</t>
        </is>
      </c>
      <c r="D4" s="8" t="inlineStr">
        <is>
          <t>data/code/; Part1/llm/output_1_files.md (same chat)</t>
        </is>
      </c>
      <c r="E4" s="8" t="inlineStr">
        <is>
          <t>Part1/llm/output_3_areaA_patterns.md</t>
        </is>
      </c>
      <c r="F4" s="8" t="inlineStr">
        <is>
          <t>partially correct: 110/110 cited lines exact; all 5 verdicts supported by source; 2 judgement issues (P3-11 inconsistent Composite rule, P3-12 Strategy/Composite overlap) decided by me. Prompt written by me, adapted from a suggestion by Claude.</t>
        </is>
      </c>
      <c r="G4" s="8" t="inlineStr">
        <is>
          <t>Part1/evidence/verification.csv; Part1/evidence/claims_3_areaA.txt</t>
        </is>
      </c>
    </row>
    <row r="5">
      <c r="A5" s="8" t="inlineStr">
        <is>
          <t>Part 1 - pattern discovery: prompt 4: simple explanation of the Area B flow</t>
        </is>
      </c>
      <c r="B5" s="8" t="inlineStr">
        <is>
          <t>Claude Opus 5.5 (claude.ai, Claude Code on the web) - 2026-10-10</t>
        </is>
      </c>
      <c r="C5" s="8" t="inlineStr">
        <is>
          <t>Part1/llm/prompt_4_areaB_flow.txt</t>
        </is>
      </c>
      <c r="D5" s="8" t="inlineStr">
        <is>
          <t>data/code/; Part1/llm/output_1_files.md (same chat)</t>
        </is>
      </c>
      <c r="E5" s="8" t="inlineStr">
        <is>
          <t>Part1/llm/output_4_areaB_flow.md</t>
        </is>
      </c>
      <c r="F5" s="8" t="inlineStr">
        <is>
          <t>partially correct: 6 of 7 checked claims correct; step 7 is wrong - for a @Disabled method the test instance IS created because prepare() runs before shouldBeSkipped() (NodeTestTask.java:109-114, TestMethodTestDescriptor.java:127). Prompt written by me, adapted from a suggestion by Claude.</t>
        </is>
      </c>
      <c r="G5" s="8" t="inlineStr">
        <is>
          <t>Part1/evidence/verification.csv</t>
        </is>
      </c>
    </row>
    <row r="6">
      <c r="A6" s="8" t="inlineStr">
        <is>
          <t>Part 1 - pattern discovery: prompt 4b: follow-up challenging step 7 of prompt 4</t>
        </is>
      </c>
      <c r="B6" s="8" t="inlineStr">
        <is>
          <t>Claude Opus 5.5 (claude.ai, Claude Code on the web) - 2026-10-10</t>
        </is>
      </c>
      <c r="C6" s="8" t="inlineStr">
        <is>
          <t>Part1/llm/prompt_4b_correction.txt</t>
        </is>
      </c>
      <c r="D6" s="8" t="inlineStr">
        <is>
          <t>data/code/junit-platform-engine/src/main/java/org/junit/platform/engine/support/hierarchical/NodeTestTask.java; data/code/junit-jupiter-engine/src/main/java/org/junit/jupiter/engine/descriptor/TestMethodTestDescriptor.java (same chat)</t>
        </is>
      </c>
      <c r="E6" s="8" t="inlineStr">
        <is>
          <t>Part1/llm/output_4b_correction.md</t>
        </is>
      </c>
      <c r="F6" s="8" t="inlineStr">
        <is>
          <t>correct: model accepted the correction; its extra claim (constructor error =&gt; reported failed, not skipped) is right but the mechanism is via assertEmpty() at JupiterTestDescriptor.java:228. Prompt written by me based on my verification finding P4-06.</t>
        </is>
      </c>
      <c r="G6" s="8" t="inlineStr">
        <is>
          <t>Part1/evidence/verification.csv</t>
        </is>
      </c>
    </row>
    <row r="7">
      <c r="A7" s="8" t="inlineStr">
        <is>
          <t>Part 1 - pattern discovery: prompt 5: patterns in Area B</t>
        </is>
      </c>
      <c r="B7" s="8" t="inlineStr">
        <is>
          <t>Claude Opus 5.5 (claude.ai, Claude Code on the web) - 2026-10-10</t>
        </is>
      </c>
      <c r="C7" s="8" t="inlineStr">
        <is>
          <t>Part1/llm/prompt_5_areaB_patterns.txt</t>
        </is>
      </c>
      <c r="D7" s="8" t="inlineStr">
        <is>
          <t>data/code/; Part1/llm/output_1_files.md (same chat)</t>
        </is>
      </c>
      <c r="E7" s="8" t="inlineStr">
        <is>
          <t>Part1/llm/output_5_areaB_patterns.md</t>
        </is>
      </c>
      <c r="F7" s="8" t="inlineStr">
        <is>
          <t>correct: 103/103 cited lines exact; all verdicts supported by source (P5-01..P5-14). Counting decisions (overlaps, reused Composite, listener classes shared with Area C) made by me. Prompt written by me, adapted from a suggestion by Claude.</t>
        </is>
      </c>
      <c r="G7" s="8" t="inlineStr">
        <is>
          <t>Part1/evidence/verification.csv; Part1/evidence/claims_5_areaB.txt</t>
        </is>
      </c>
    </row>
    <row r="8">
      <c r="A8" s="8" t="inlineStr">
        <is>
          <t>Part 1 - pattern discovery: prompt 6: simple explanation of the Area C flow</t>
        </is>
      </c>
      <c r="B8" s="8" t="inlineStr">
        <is>
          <t>Claude Opus 5.5 (claude.ai, Claude Code on the web) - 2026-10-10</t>
        </is>
      </c>
      <c r="C8" s="8" t="inlineStr">
        <is>
          <t>Part1/llm/prompt_6_areaC_flow.txt</t>
        </is>
      </c>
      <c r="D8" s="8" t="inlineStr">
        <is>
          <t>data/code/; Part1/llm/output_1_files.md (same chat)</t>
        </is>
      </c>
      <c r="E8" s="8" t="inlineStr">
        <is>
          <t>Part1/llm/output_6_areaC_flow.md</t>
        </is>
      </c>
      <c r="F8" s="8" t="inlineStr">
        <is>
          <t>correct: 6 checked claims correct (P6-01..P6-06); small omissions only (optional MemoryCleanupListener; engine skipped event is also delayed). Prompt written by me, adapted from a suggestion by Claude.</t>
        </is>
      </c>
      <c r="G8" s="8" t="inlineStr">
        <is>
          <t>Part1/evidence/verification.csv</t>
        </is>
      </c>
    </row>
    <row r="9">
      <c r="A9" s="8" t="inlineStr">
        <is>
          <t>Part 1 - pattern discovery: prompt 7: patterns in Area C</t>
        </is>
      </c>
      <c r="B9" s="8" t="inlineStr">
        <is>
          <t>Claude Opus 5.5 (claude.ai, Claude Code on the web) - 2026-10-10</t>
        </is>
      </c>
      <c r="C9" s="8" t="inlineStr">
        <is>
          <t>Part1/llm/prompt_7_areaC_patterns.txt</t>
        </is>
      </c>
      <c r="D9" s="8" t="inlineStr">
        <is>
          <t>data/code/; Part1/llm/output_1_files.md; Part1/notes.md (instances already counted; same chat)</t>
        </is>
      </c>
      <c r="E9" s="8" t="inlineStr">
        <is>
          <t>Part1/llm/output_7_areaC_patterns.md</t>
        </is>
      </c>
      <c r="F9" s="8" t="inlineStr">
        <is>
          <t>correct: 75/75 cited lines exact; followed the do-not-recount instruction; one weak claim (ListenerRegistry factory as Strategy) recorded as uncertain (P7-07). Prompt written by me, adapted from a suggestion by Claude.</t>
        </is>
      </c>
      <c r="G9" s="8" t="inlineStr">
        <is>
          <t>Part1/evidence/verification.csv; Part1/evidence/claims_7_areaC.txt</t>
        </is>
      </c>
    </row>
    <row r="10">
      <c r="A10" s="8" t="inlineStr">
        <is>
          <t>Part 1 - pattern discovery: prompt 8: simple explanation of the Area D flow</t>
        </is>
      </c>
      <c r="B10" s="8" t="inlineStr">
        <is>
          <t>Claude Opus 5.5 (claude.ai, Claude Code on the web) - 2026-10-10</t>
        </is>
      </c>
      <c r="C10" s="8" t="inlineStr">
        <is>
          <t>Part1/llm/prompt_8_areaD_flow.txt</t>
        </is>
      </c>
      <c r="D10" s="8" t="inlineStr">
        <is>
          <t>data/code/; Part1/llm/output_1_files.md (same chat)</t>
        </is>
      </c>
      <c r="E10" s="8" t="inlineStr">
        <is>
          <t>Part1/llm/output_8_areaD_flow.md</t>
        </is>
      </c>
      <c r="F10" s="8" t="inlineStr">
        <is>
          <t>correct: 21/21 cited lines correct and 7 behavioural claims confirmed (P8-01..P8-08). Prompt written by me, adapted from a suggestion by Claude.</t>
        </is>
      </c>
      <c r="G10" s="8" t="inlineStr">
        <is>
          <t>Part1/evidence/verification.csv; Part1/evidence/claims_8_areaD_flow.txt</t>
        </is>
      </c>
    </row>
    <row r="11">
      <c r="A11" s="8" t="inlineStr">
        <is>
          <t>Part 1 - pattern discovery: prompt 9: patterns in Area D</t>
        </is>
      </c>
      <c r="B11" s="8" t="inlineStr">
        <is>
          <t>Claude Opus 5.5 (claude.ai, Claude Code on the web) - 2026-10-10</t>
        </is>
      </c>
      <c r="C11" s="8" t="inlineStr">
        <is>
          <t>Part1/llm/prompt_9_areaD_patterns.txt</t>
        </is>
      </c>
      <c r="D11" s="8" t="inlineStr">
        <is>
          <t>data/code/; Part1/llm/output_1_files.md; Part1/notes.md (instances already counted; same chat)</t>
        </is>
      </c>
      <c r="E11" s="8" t="inlineStr">
        <is>
          <t>Part1/llm/output_9_areaD_patterns.md</t>
        </is>
      </c>
      <c r="F11" s="8" t="inlineStr">
        <is>
          <t>correct: 100/100 cited lines exact; all verdicts supported (P9-01..P9-16); followed the do-not-recount instruction. Prompt written by me, adapted from a suggestion by Claude.</t>
        </is>
      </c>
      <c r="G11" s="8" t="inlineStr">
        <is>
          <t>Part1/evidence/verification.csv; Part1/evidence/claims_9_areaD.txt</t>
        </is>
      </c>
    </row>
    <row r="12">
      <c r="A12" s="8" t="inlineStr">
        <is>
          <t>Part 1 - pattern discovery: UML (prompt 10: PlantUML class diagram per confirmed instance)</t>
        </is>
      </c>
      <c r="B12" s="8" t="inlineStr">
        <is>
          <t>Claude Opus 5.5 (claude.ai, Claude Code on the web) - 2026-10-10</t>
        </is>
      </c>
      <c r="C12" s="8" t="inlineStr">
        <is>
          <t>Part1/llm/prompt_10_uml.txt</t>
        </is>
      </c>
      <c r="D12" s="8" t="inlineStr">
        <is>
          <t>data/code/ (same chat; my instance tables were NOT included, a placeholder was sent)</t>
        </is>
      </c>
      <c r="E12" s="8" t="inlineStr">
        <is>
          <t>Part1/llm/output_10_uml.md</t>
        </is>
      </c>
      <c r="F12" s="8" t="inlineStr">
        <is>
          <t>partially correct: 98/98 implements/extends arrows match source; 1 wrong participant (A2 EngineFilter) removed; model ids remapped to ours and 2 extra diagrams dropped (P10-01..P10-04). Prompt drafted with Claude, used by me.</t>
        </is>
      </c>
      <c r="G12" s="8" t="inlineStr">
        <is>
          <t>Part1/uml/arrow_check.txt; Part1/uml/README.md</t>
        </is>
      </c>
    </row>
    <row r="13">
      <c r="A13" s="8" t="inlineStr">
        <is>
          <t>Part 1 - pattern discovery: architecture (prompt 11: PlantUML component diagram of one test run)</t>
        </is>
      </c>
      <c r="B13" s="8" t="inlineStr">
        <is>
          <t>Claude Opus 5.5 (claude.ai, Claude Code on the web) - 2026-10-10</t>
        </is>
      </c>
      <c r="C13" s="8" t="inlineStr">
        <is>
          <t>Part1/llm/prompt_11_architecture.txt</t>
        </is>
      </c>
      <c r="D13" s="8" t="inlineStr">
        <is>
          <t>data/code/ (same chat)</t>
        </is>
      </c>
      <c r="E13" s="8" t="inlineStr">
        <is>
          <t>Part1/llm/output_11_architecture.md</t>
        </is>
      </c>
      <c r="F13" s="8" t="inlineStr">
        <is>
          <t>partially correct: 18 of 20 numbered steps correct; step 2 (builder does not call the launcher) and step 8 (DefaultLauncher, not the orchestrator, builds the TestPlan) corrected; wrapper gap annotated (P11-01..P11-05). Prompt drafted with Claude, used by me.</t>
        </is>
      </c>
      <c r="G13" s="8" t="inlineStr">
        <is>
          <t>Part1/evidence/verification.csv; Part1/architecture/architecture.puml</t>
        </is>
      </c>
    </row>
    <row r="14">
      <c r="A14" s="8" t="inlineStr">
        <is>
          <t>Part 2 - evolution: change design (prompt 1: existing features, gap, design, extension point, order/failures, pattern impact, refactoring for CH01-CH03)</t>
        </is>
      </c>
      <c r="B14" s="8" t="inlineStr">
        <is>
          <t>Claude Opus 5.5 (claude.ai, Claude Code on the web) - 2026-10-10</t>
        </is>
      </c>
      <c r="C14" s="8" t="inlineStr">
        <is>
          <t>Part2/llm/prompt_1_design.txt</t>
        </is>
      </c>
      <c r="D14" s="8" t="inlineStr">
        <is>
          <t>data/code/; Part1/notes.md (same chat as Part 1)</t>
        </is>
      </c>
      <c r="E14" s="8" t="inlineStr">
        <is>
          <t>Part2/llm/output_1_design.md</t>
        </is>
      </c>
      <c r="F14" s="8" t="inlineStr">
        <is>
          <t>partially correct: 111/112 line references exact (1 off by one), 2 range ends wrong; 14 behavioural claims checked and correct; pattern ids remapped to ours, 2 non-counted patterns noted; the 'new enum Strategy' claim for CH03 rejected; CH02 code sketch does not compile as written the Long Method label for CH03 is not supported by metrics (D1-01..D1-22; D1-21 added during CH01: the deactivate key only works as a system property; D1-22 added during CH02: Holder is an Adapter). Prompt written by me, adapted from a suggestion by Claude.</t>
        </is>
      </c>
      <c r="G14" s="8" t="inlineStr">
        <is>
          <t>Part2/evidence/verification.csv; Part2/evidence/claims_p2_1_design.txt</t>
        </is>
      </c>
    </row>
    <row r="15">
      <c r="A15" s="8" t="inlineStr">
        <is>
          <t>Part 2 - evolution: CH03 implementation (refactoring + FilterPolicy + tests + demo)</t>
        </is>
      </c>
      <c r="B15" s="8" t="inlineStr">
        <is>
          <t>Claude Opus 5.5 (Claude Code CLI) - 2026-10-10</t>
        </is>
      </c>
      <c r="C15" s="8" t="inlineStr">
        <is>
          <t>Part2/llm/prompt_2_ch03_impl.txt</t>
        </is>
      </c>
      <c r="D15" s="8" t="inlineStr">
        <is>
          <t>data/code/ (fork branch b16-evolution at f59f60d); Part2/llm/output_1_design.md as corrected in Part2/evidence/verification.csv</t>
        </is>
      </c>
      <c r="E15" s="8" t="inlineStr">
        <is>
          <t>Part2/changes/Change3/ch03_full.diff</t>
        </is>
      </c>
      <c r="F15" s="8" t="inlineStr">
        <is>
          <t>correct after review: launcher tests 382-&gt;382 (CH03a)-&gt;391 (CH03b), all platform-tests 2452-&gt;2461, 0 failures; mutation check (wiring removed) fails 8/9 new tests. Two mistakes found and fixed during review: one test passed even without the feature (rewritten so the policy must narrow) and a wrong lizard version in the README. Code written by Claude Code; I approved the plan.</t>
        </is>
      </c>
      <c r="G15" s="8" t="inlineStr">
        <is>
          <t>Part2/changes/Change3/README.md; Part2/changes/Change3/mutation_check_without_wiring.log; Part2/changes/launcher_tests_by_snapshot.txt</t>
        </is>
      </c>
    </row>
    <row r="16">
      <c r="A16" s="8" t="inlineStr">
        <is>
          <t>Part 2 - evolution: CH01 implementation (refactoring + ClassSummaryListener + tests + demo)</t>
        </is>
      </c>
      <c r="B16" s="8" t="inlineStr">
        <is>
          <t>Claude Opus 5.5 (Claude Code CLI) - 2026-10-10</t>
        </is>
      </c>
      <c r="C16" s="8" t="inlineStr">
        <is>
          <t>Part2/llm/prompt_3_ch01_impl.txt</t>
        </is>
      </c>
      <c r="D16" s="8" t="inlineStr">
        <is>
          <t>Part2/changes/Change3/ch03_full.diff applied to data/code/ (fork at 6f98fbf); Part2/llm/output_1_design.md (CH01) as corrected in Part2/evidence/verification.csv</t>
        </is>
      </c>
      <c r="E16" s="8" t="inlineStr">
        <is>
          <t>Part2/changes/Change1/ch01_full.diff</t>
        </is>
      </c>
      <c r="F16" s="8" t="inlineStr">
        <is>
          <t>correct after review: characterization test passes on original code; launcher tests 391-&gt;392 (CH01a)-&gt;397 (CH01b), all platform-tests 2461-&gt;2467, 0 failures; mutation checks caught (if/else in count; registration removed; skipped not counted). Mistakes found and fixed during review: first demo used --config for the deactivate key, which has no effect (must be a system property; D1-21); two tool-use slips where an edit did not apply and the run was redone. Code written by Claude Code; I approved the plan.</t>
        </is>
      </c>
      <c r="G16" s="8" t="inlineStr">
        <is>
          <t>Part2/changes/Change1/README.md; Part2/changes/Change1/mutation_checks_ch01b.log; Part2/changes/launcher_tests_by_snapshot.txt</t>
        </is>
      </c>
    </row>
    <row r="17">
      <c r="A17" s="8" t="inlineStr">
        <is>
          <t>Part 2 - evolution: CH02 implementation (@ManagedResource extension + tests + demo)</t>
        </is>
      </c>
      <c r="B17" s="8" t="inlineStr">
        <is>
          <t>Claude Opus 5.5 (Claude Code CLI) - 2026-10-10</t>
        </is>
      </c>
      <c r="C17" s="8" t="inlineStr">
        <is>
          <t>Part2/llm/prompt_4_ch02_impl.txt</t>
        </is>
      </c>
      <c r="D17" s="8" t="inlineStr">
        <is>
          <t>Part2/changes/Change1/ch01_full.diff + Change3 applied to data/code/ (fork at e55fefe); Part2/llm/output_1_design.md (CH02) as corrected in Part2/evidence/verification.csv</t>
        </is>
      </c>
      <c r="E17" s="8" t="inlineStr">
        <is>
          <t>Part2/changes/Change2/ch02_extension.diff</t>
        </is>
      </c>
      <c r="F17" s="8" t="inlineStr">
        <is>
          <t>correct after review: jupiter-tests 3381-&gt;3388, 0 failures; mutation checks caught (CloseableResource fallback removed; wrong store lifetime). Found during review: first mutation did not compile (replaced by an equivalent one); README wording about skipped tests corrected after checking the skip reasons; LLM's 'Holder is not a pattern' disputed (D1-22). Code written by Claude Code; I approved the plan.</t>
        </is>
      </c>
      <c r="G17" s="8" t="inlineStr">
        <is>
          <t>Part2/changes/Change2/README.md; Part2/changes/Change2/mutation_checks_ch02.log; Part2/changes/launcher_tests_by_snapshot.txt</t>
        </is>
      </c>
    </row>
    <row r="18">
      <c r="A18" s="8" t="inlineStr">
        <is>
          <t>Part 3 - cross-language analysis: prompt 1 (Observer and Composite programs in Java, Python, JavaScript, C++)</t>
        </is>
      </c>
      <c r="B18" s="8" t="inlineStr">
        <is>
          <t>Claude Opus 5.5 (claude.ai, Claude Code on the web) - 2026-10-10</t>
        </is>
      </c>
      <c r="C18" s="8" t="inlineStr">
        <is>
          <t>Part3/llm/prompt_1_programs.txt</t>
        </is>
      </c>
      <c r="D18" s="8" t="inlineStr">
        <is>
          <t>Part1/notes.md (instances C1 and A1); data/code/ (same chat as Parts 1-2)</t>
        </is>
      </c>
      <c r="E18" s="8" t="inlineStr">
        <is>
          <t>Part3/llm/output_1_programs.zip</t>
        </is>
      </c>
      <c r="F18" s="8" t="inlineStr">
        <is>
          <t>correct, with 1 partial and 1 not confirmable: all 30 commands re-run on my Mac (Java 25, Python 3.14, Node 26, Apple clang 21) exit 0, 8/8 outputs identical, 0 C++ warnings, ASan/UBSan clean, 0 leaks; partial: 'small production code' (Composite parsers CCN 17-24); cannot confirm: '16 extra inputs' (not in the zip) (P3-01..P3-10). Code used unchanged. Prompt written by me, adapted from a suggestion by Claude. Raw output = the zip (all files + the web sandbox RUN-LOG.txt); the chat reply text was not saved.</t>
        </is>
      </c>
      <c r="G18" s="8" t="inlineStr">
        <is>
          <t>Part3/llm/verification.csv; Part3/RUN-LOG-mac.txt; Part3/cpp-sanitizer-mac.txt; Part3/timing-raw.csv</t>
        </is>
      </c>
    </row>
    <row r="19">
      <c r="A19" s="8" t="inlineStr">
        <is>
          <t>Part 3 - cross-language analysis: remaining 8 pattern types (Strategy, Adapter, Decorator, Template Method, Command, Null Object, Chain of Responsibility, Factory Method) in Java, Python, JavaScript and C++</t>
        </is>
      </c>
      <c r="B19" s="8" t="inlineStr">
        <is>
          <t>Claude Opus 5.5 (Claude Code CLI) - 2026-10-10</t>
        </is>
      </c>
      <c r="C19" s="8" t="inlineStr">
        <is>
          <t>Part3/llm/prompt_2_eight_patterns.txt</t>
        </is>
      </c>
      <c r="D19" s="8" t="inlineStr">
        <is>
          <t>Part1/notes.md (instances A3, B7, D10, B1, B9, C7, D9, B2); data/code/; Part3/observer-test-listeners/ (layout and rules)</t>
        </is>
      </c>
      <c r="E19" s="8" t="inlineStr">
        <is>
          <t>Part3/strategy-test-filters/</t>
        </is>
      </c>
      <c r="F19" s="8" t="inlineStr">
        <is>
          <t>correct after review: 32 programs, 110/110 run-all commands exit 0 on my Mac, 40/40 outputs identical, all test runners 3/3, 0 compiler warnings, C++ ASan/UBSan clean and 0 leaks; fixed during review: Java lint warnings (types per file, serialVersionUID), unused imports, one inexact README sentence about JUnit, and a JavaScript line lizard could not parse (P3-11..P3-16). Code written by Claude Code at my request; output folders: the 8 problem folders in Part3/.</t>
        </is>
      </c>
      <c r="G19" s="8" t="inlineStr">
        <is>
          <t>Part3/llm/verification.csv; Part3/RUN-LOG-mac.txt; Part3/cpp-sanitizer-mac.txt</t>
        </is>
      </c>
    </row>
    <row r="20">
      <c r="A20" s="8" t="inlineStr">
        <is>
          <t>Part 3 - cross-language analysis: tooling for all parts (slides, dataset workbook, README, dataset generators, measurement and verification scripts)</t>
        </is>
      </c>
      <c r="B20" s="8" t="inlineStr">
        <is>
          <t>Claude Opus 5.5 (Claude Code CLI) - 2026-10-10</t>
        </is>
      </c>
      <c r="C20" s="8" t="inlineStr">
        <is>
          <t>data/prompt_reporting_with_claude_code.txt</t>
        </is>
      </c>
      <c r="D20" s="8" t="inlineStr">
        <is>
          <t>data/ (all datasets); Part1/ Part2/ Part3/ evidence; casestudy.tex template</t>
        </is>
      </c>
      <c r="E20" s="8" t="inlineStr">
        <is>
          <t>B16_Report.tex</t>
        </is>
      </c>
      <c r="F20" s="8" t="inlineStr">
        <is>
          <t>correct after review: every number in the report and slides cross-checked against the datasets and logs; automated check against the assignment PDF and template (DP_Csestudy.pdf, DP_Csestudy1.pdf); corrections during review recorded in the README and the per-part verification files.</t>
        </is>
      </c>
      <c r="G20" s="8" t="inlineStr">
        <is>
          <t>data/test_result/README.md; Part2/evidence/verification.csv; Part3/llm/verification.csv</t>
        </is>
      </c>
    </row>
    <row r="22">
      <c r="A22" s="5" t="inlineStr">
        <is>
          <t>Source: Every AI interaction (master file)</t>
        </is>
      </c>
    </row>
  </sheetData>
  <autoFilter ref="A1:G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5"/>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60" customWidth="1" min="3" max="3"/>
    <col width="60" customWidth="1" min="4" max="4"/>
    <col width="19" customWidth="1" min="5" max="5"/>
    <col width="60" customWidth="1" min="6" max="6"/>
    <col width="18" customWidth="1" min="7" max="7"/>
  </cols>
  <sheetData>
    <row r="1">
      <c r="A1" s="7" t="inlineStr">
        <is>
          <t>claim_id</t>
        </is>
      </c>
      <c r="B1" s="7" t="inlineStr">
        <is>
          <t>llm_output_file</t>
        </is>
      </c>
      <c r="C1" s="7" t="inlineStr">
        <is>
          <t>claim</t>
        </is>
      </c>
      <c r="D1" s="7" t="inlineStr">
        <is>
          <t>file_and_lines</t>
        </is>
      </c>
      <c r="E1" s="7" t="inlineStr">
        <is>
          <t>verdict</t>
        </is>
      </c>
      <c r="F1" s="7" t="inlineStr">
        <is>
          <t>correction</t>
        </is>
      </c>
      <c r="G1" s="7" t="inlineStr">
        <is>
          <t>checked_by</t>
        </is>
      </c>
    </row>
    <row r="2">
      <c r="A2" s="8" t="inlineStr">
        <is>
          <t>P1-01</t>
        </is>
      </c>
      <c r="B2" s="8" t="inlineStr">
        <is>
          <t>Part1/llm/output_1_files.md</t>
        </is>
      </c>
      <c r="C2" s="8" t="inlineStr">
        <is>
          <t>All 157 full file paths named in the answer exist</t>
        </is>
      </c>
      <c r="D2" s="8" t="inlineStr">
        <is>
          <t>files at commit f59f60d (git ls-tree)</t>
        </is>
      </c>
      <c r="E2" s="8" t="inlineStr">
        <is>
          <t>correct</t>
        </is>
      </c>
      <c r="F2" s="8" t="inlineStr">
        <is>
          <t>8 'missing' entries are only wildcards (tagexpression/*.java, condition/*.java, util/*.java) or '.../' abbreviations; all resolve to real files</t>
        </is>
      </c>
      <c r="G2" s="8" t="inlineStr">
        <is>
          <t>Gautham Mohanraj</t>
        </is>
      </c>
    </row>
    <row r="3">
      <c r="A3" s="8" t="inlineStr">
        <is>
          <t>P1-02</t>
        </is>
      </c>
      <c r="B3" s="8" t="inlineStr">
        <is>
          <t>Part1/llm/output_1_files.md</t>
        </is>
      </c>
      <c r="C3" s="8" t="inlineStr">
        <is>
          <t>All 262 short file names exist in the four modules</t>
        </is>
      </c>
      <c r="D3" s="8" t="inlineStr">
        <is>
          <t>files at commit f59f60d</t>
        </is>
      </c>
      <c r="E3" s="8" t="inlineStr">
        <is>
          <t>correct</t>
        </is>
      </c>
      <c r="F3" s="8" t="inlineStr">
        <is>
          <t>only 'Assert*.java' is a wildcard (Assertions helpers exist)</t>
        </is>
      </c>
      <c r="G3" s="8" t="inlineStr"/>
    </row>
    <row r="4">
      <c r="A4" s="8" t="inlineStr">
        <is>
          <t>P1-03</t>
        </is>
      </c>
      <c r="B4" s="8" t="inlineStr">
        <is>
          <t>Part1/llm/output_1_files.md</t>
        </is>
      </c>
      <c r="C4" s="8" t="inlineStr">
        <is>
          <t>JupiterTestDescriptor extends AbstractTestDescriptor implements Node</t>
        </is>
      </c>
      <c r="D4" s="8" t="inlineStr">
        <is>
          <t>JE/descriptor/JupiterTestDescriptor.java:64-65</t>
        </is>
      </c>
      <c r="E4" s="8" t="inlineStr">
        <is>
          <t>correct</t>
        </is>
      </c>
      <c r="F4" s="8" t="inlineStr"/>
      <c r="G4" s="8" t="inlineStr"/>
    </row>
    <row r="5">
      <c r="A5" s="8" t="inlineStr">
        <is>
          <t>P1-04</t>
        </is>
      </c>
      <c r="B5" s="8" t="inlineStr">
        <is>
          <t>Part1/llm/output_1_files.md</t>
        </is>
      </c>
      <c r="C5" s="8" t="inlineStr">
        <is>
          <t>Root registry built-ins = DisabledCondition AutoClose Timeout RepeatedTest TestInfo TestReporter + TempDirectory</t>
        </is>
      </c>
      <c r="D5" s="8" t="inlineStr">
        <is>
          <t>JE/extension/MutableExtensionRegistry.java:54-60 and 86</t>
        </is>
      </c>
      <c r="E5" s="8" t="inlineStr">
        <is>
          <t>correct</t>
        </is>
      </c>
      <c r="F5" s="8" t="inlineStr">
        <is>
          <t>TempDirectory is registered separately at line 86 (needs configuration)</t>
        </is>
      </c>
      <c r="G5" s="8" t="inlineStr"/>
    </row>
    <row r="6">
      <c r="A6" s="8" t="inlineStr">
        <is>
          <t>P1-05</t>
        </is>
      </c>
      <c r="B6" s="8" t="inlineStr">
        <is>
          <t>Part1/llm/output_1_files.md</t>
        </is>
      </c>
      <c r="C6" s="8" t="inlineStr">
        <is>
          <t>Store closes values in reverse insertion order</t>
        </is>
      </c>
      <c r="D6" s="8" t="inlineStr">
        <is>
          <t>PE/support/store/NamespacedHierarchicalStore.java:125 and 662</t>
        </is>
      </c>
      <c r="E6" s="8" t="inlineStr">
        <is>
          <t>correct</t>
        </is>
      </c>
      <c r="F6" s="8" t="inlineStr"/>
      <c r="G6" s="8" t="inlineStr"/>
    </row>
    <row r="7">
      <c r="A7" s="8" t="inlineStr">
        <is>
          <t>P1-06</t>
        </is>
      </c>
      <c r="B7" s="8" t="inlineStr">
        <is>
          <t>Part1/llm/output_1_files.md</t>
        </is>
      </c>
      <c r="C7" s="8" t="inlineStr">
        <is>
          <t>Before-callbacks in registration order; after-callbacks reversed</t>
        </is>
      </c>
      <c r="D7" s="8" t="inlineStr">
        <is>
          <t>JE/descriptor/CallbackSupport.java:33 and 48</t>
        </is>
      </c>
      <c r="E7" s="8" t="inlineStr">
        <is>
          <t>correct</t>
        </is>
      </c>
      <c r="F7" s="8" t="inlineStr"/>
      <c r="G7" s="8" t="inlineStr"/>
    </row>
    <row r="8">
      <c r="A8" s="8" t="inlineStr">
        <is>
          <t>P1-07</t>
        </is>
      </c>
      <c r="B8" s="8" t="inlineStr">
        <is>
          <t>Part1/llm/output_1_files.md</t>
        </is>
      </c>
      <c r="C8" s="8" t="inlineStr">
        <is>
          <t>Stack-trace pruning is on by default</t>
        </is>
      </c>
      <c r="D8" s="8" t="inlineStr">
        <is>
          <t>PL/core/EngineExecutionOrchestrator.java:195-196</t>
        </is>
      </c>
      <c r="E8" s="8" t="inlineStr">
        <is>
          <t>correct</t>
        </is>
      </c>
      <c r="F8" s="8" t="inlineStr"/>
      <c r="G8" s="8" t="inlineStr"/>
    </row>
    <row r="9">
      <c r="A9" s="8" t="inlineStr">
        <is>
          <t>P1-08</t>
        </is>
      </c>
      <c r="B9" s="8" t="inlineStr">
        <is>
          <t>Part1/llm/output_1_files.md</t>
        </is>
      </c>
      <c r="C9" s="8" t="inlineStr">
        <is>
          <t>Listener chain: OutcomeDelaying &gt; StackTracePruning &gt; [MemoryCleanup] &gt; composite &gt; ExecutionListenerAdapter</t>
        </is>
      </c>
      <c r="D9" s="8" t="inlineStr">
        <is>
          <t>PL/core/EngineExecutionOrchestrator.java:145-149 198 253</t>
        </is>
      </c>
      <c r="E9" s="8" t="inlineStr">
        <is>
          <t>correct</t>
        </is>
      </c>
      <c r="F9" s="8" t="inlineStr"/>
      <c r="G9" s="8" t="inlineStr"/>
    </row>
    <row r="10">
      <c r="A10" s="8" t="inlineStr">
        <is>
          <t>P2-01</t>
        </is>
      </c>
      <c r="B10" s="8" t="inlineStr">
        <is>
          <t>Part1/llm/output_2_areaA_flow.md</t>
        </is>
      </c>
      <c r="C10" s="8" t="inlineStr">
        <is>
          <t>Each engine gets a root UniqueId; EngineFilterer skips excluded engines</t>
        </is>
      </c>
      <c r="D10" s="8" t="inlineStr">
        <is>
          <t>PL/core/EngineDiscoveryOrchestrator.java:80-84 and 163</t>
        </is>
      </c>
      <c r="E10" s="8" t="inlineStr">
        <is>
          <t>correct</t>
        </is>
      </c>
      <c r="F10" s="8" t="inlineStr"/>
      <c r="G10" s="8" t="inlineStr"/>
    </row>
    <row r="11">
      <c r="A11" s="8" t="inlineStr">
        <is>
          <t>P2-02</t>
        </is>
      </c>
      <c r="B11" s="8" t="inlineStr">
        <is>
          <t>Part1/llm/output_2_areaA_flow.md</t>
        </is>
      </c>
      <c r="C11" s="8" t="inlineStr">
        <is>
          <t>JupiterTestEngine.discover creates JupiterEngineDescriptor then calls DiscoverySelectorResolver</t>
        </is>
      </c>
      <c r="D11" s="8" t="inlineStr">
        <is>
          <t>JE/JupiterTestEngine.java:74-75</t>
        </is>
      </c>
      <c r="E11" s="8" t="inlineStr">
        <is>
          <t>correct</t>
        </is>
      </c>
      <c r="F11" s="8" t="inlineStr"/>
      <c r="G11" s="8" t="inlineStr"/>
    </row>
    <row r="12">
      <c r="A12" s="8" t="inlineStr">
        <is>
          <t>P2-03</t>
        </is>
      </c>
      <c r="B12" s="8" t="inlineStr">
        <is>
          <t>Part1/llm/output_2_areaA_flow.md</t>
        </is>
      </c>
      <c r="C12" s="8" t="inlineStr">
        <is>
          <t>DiscoverySelectorResolver plugs ClassSelectorResolver and MethodSelectorResolver into EngineDiscoveryRequestResolver plus ordering visitors and validation</t>
        </is>
      </c>
      <c r="D12" s="8" t="inlineStr">
        <is>
          <t>JE/discovery/DiscoverySelectorResolver.java:40-50</t>
        </is>
      </c>
      <c r="E12" s="8" t="inlineStr">
        <is>
          <t>correct</t>
        </is>
      </c>
      <c r="F12" s="8" t="inlineStr"/>
      <c r="G12" s="8" t="inlineStr">
        <is>
          <t>Gautham Mohanraj</t>
        </is>
      </c>
    </row>
    <row r="13">
      <c r="A13" s="8" t="inlineStr">
        <is>
          <t>P2-04</t>
        </is>
      </c>
      <c r="B13" s="8" t="inlineStr">
        <is>
          <t>Part1/llm/output_2_areaA_flow.md</t>
        </is>
      </c>
      <c r="C13" s="8" t="inlineStr">
        <is>
          <t>EngineDiscoveryRequestResolution processes a queue of selectors one at a time</t>
        </is>
      </c>
      <c r="D13" s="8" t="inlineStr">
        <is>
          <t>PE/support/discovery/EngineDiscoveryRequestResolution.java:69 and 82-85</t>
        </is>
      </c>
      <c r="E13" s="8" t="inlineStr">
        <is>
          <t>correct</t>
        </is>
      </c>
      <c r="F13" s="8" t="inlineStr"/>
      <c r="G13" s="8" t="inlineStr"/>
    </row>
    <row r="14">
      <c r="A14" s="8" t="inlineStr">
        <is>
          <t>P2-05</t>
        </is>
      </c>
      <c r="B14" s="8" t="inlineStr">
        <is>
          <t>Part1/llm/output_2_areaA_flow.md</t>
        </is>
      </c>
      <c r="C14" s="8" t="inlineStr">
        <is>
          <t>ClassSelectorResolver uses TestClassPredicates; MethodSelectorResolver maps IsTestMethod to TestMethodTestDescriptor</t>
        </is>
      </c>
      <c r="D14" s="8" t="inlineStr">
        <is>
          <t>JE/discovery/ClassSelectorResolver.java:73-80; JE/discovery/MethodSelectorResolver.java:178</t>
        </is>
      </c>
      <c r="E14" s="8" t="inlineStr">
        <is>
          <t>correct</t>
        </is>
      </c>
      <c r="F14" s="8" t="inlineStr"/>
      <c r="G14" s="8" t="inlineStr"/>
    </row>
    <row r="15">
      <c r="A15" s="8" t="inlineStr">
        <is>
          <t>P2-06</t>
        </is>
      </c>
      <c r="B15" s="8" t="inlineStr">
        <is>
          <t>Part1/llm/output_2_areaA_flow.md</t>
        </is>
      </c>
      <c r="C15" s="8" t="inlineStr">
        <is>
          <t>A private @Test method is reported as a discovery issue</t>
        </is>
      </c>
      <c r="D15" s="8" t="inlineStr">
        <is>
          <t>JE/discovery/predicates/IsTestableMethod.java:60-63</t>
        </is>
      </c>
      <c r="E15" s="8" t="inlineStr">
        <is>
          <t>correct</t>
        </is>
      </c>
      <c r="F15" s="8" t="inlineStr">
        <is>
          <t>message: 'must not be private'</t>
        </is>
      </c>
      <c r="G15" s="8" t="inlineStr"/>
    </row>
    <row r="16">
      <c r="A16" s="8" t="inlineStr">
        <is>
          <t>P2-07</t>
        </is>
      </c>
      <c r="B16" s="8" t="inlineStr">
        <is>
          <t>Part1/llm/output_2_areaA_flow.md</t>
        </is>
      </c>
      <c r="C16" s="8" t="inlineStr">
        <is>
          <t>EngineDiscoveryResultValidator checks for cycles (loops) in the tree</t>
        </is>
      </c>
      <c r="D16" s="8" t="inlineStr">
        <is>
          <t>PL/core/EngineDiscoveryResultValidator.java:40-65</t>
        </is>
      </c>
      <c r="E16" s="8" t="inlineStr">
        <is>
          <t>correct</t>
        </is>
      </c>
      <c r="F16" s="8" t="inlineStr">
        <is>
          <t>also checks the root is non-null</t>
        </is>
      </c>
      <c r="G16" s="8" t="inlineStr"/>
    </row>
    <row r="17">
      <c r="A17" s="8" t="inlineStr">
        <is>
          <t>P2-08</t>
        </is>
      </c>
      <c r="B17" s="8" t="inlineStr">
        <is>
          <t>Part1/llm/output_2_areaA_flow.md</t>
        </is>
      </c>
      <c r="C17" s="8" t="inlineStr">
        <is>
          <t>TestPlan.from turns every descriptor into a TestIdentifier; InternalTestPlan keeps the real tree</t>
        </is>
      </c>
      <c r="D17" s="8" t="inlineStr">
        <is>
          <t>PL/TestPlan.java:89-94; PL/core/InternalTestPlan.java:26-39</t>
        </is>
      </c>
      <c r="E17" s="8" t="inlineStr">
        <is>
          <t>correct</t>
        </is>
      </c>
      <c r="F17" s="8" t="inlineStr"/>
      <c r="G17" s="8" t="inlineStr"/>
    </row>
    <row r="18">
      <c r="A18" s="8" t="inlineStr">
        <is>
          <t>P3-01</t>
        </is>
      </c>
      <c r="B18" s="8" t="inlineStr">
        <is>
          <t>Part1/llm/output_3_areaA_patterns.md</t>
        </is>
      </c>
      <c r="C18" s="8" t="inlineStr">
        <is>
          <t>All 110 cited line numbers contain the quoted code</t>
        </is>
      </c>
      <c r="D18" s="8" t="inlineStr">
        <is>
          <t>Part1/evidence/claims_3_areaA.txt (run check_lines.py)</t>
        </is>
      </c>
      <c r="E18" s="8" t="inlineStr">
        <is>
          <t>correct</t>
        </is>
      </c>
      <c r="F18" s="8" t="inlineStr">
        <is>
          <t>110/110 exact</t>
        </is>
      </c>
      <c r="G18" s="8" t="inlineStr">
        <is>
          <t>Gautham Mohanraj</t>
        </is>
      </c>
    </row>
    <row r="19">
      <c r="A19" s="8" t="inlineStr">
        <is>
          <t>P3-02</t>
        </is>
      </c>
      <c r="B19" s="8" t="inlineStr">
        <is>
          <t>Part1/llm/output_3_areaA_patterns.md</t>
        </is>
      </c>
      <c r="C19" s="8" t="inlineStr">
        <is>
          <t>Composite: TestDescriptor tree (accept/getDescendants/findByUniqueId recurse over children)</t>
        </is>
      </c>
      <c r="D19" s="8" t="inlineStr">
        <is>
          <t>PE/TestDescriptor.java:345-349; PE/support/descriptor/AbstractTestDescriptor.java:69 and 195-202</t>
        </is>
      </c>
      <c r="E19" s="8" t="inlineStr">
        <is>
          <t>correct</t>
        </is>
      </c>
      <c r="F19" s="8" t="inlineStr"/>
      <c r="G19" s="8" t="inlineStr"/>
    </row>
    <row r="20">
      <c r="A20" s="8" t="inlineStr">
        <is>
          <t>P3-03</t>
        </is>
      </c>
      <c r="B20" s="8" t="inlineStr">
        <is>
          <t>Part1/llm/output_3_areaA_patterns.md</t>
        </is>
      </c>
      <c r="C20" s="8" t="inlineStr">
        <is>
          <t>Transparent Composite: TestFactoryTestDescriptor extends a leaf class but returns CONTAINER</t>
        </is>
      </c>
      <c r="D20" s="8" t="inlineStr">
        <is>
          <t>JE/descriptor/TestFactoryTestDescriptor.java:97-99</t>
        </is>
      </c>
      <c r="E20" s="8" t="inlineStr">
        <is>
          <t>correct</t>
        </is>
      </c>
      <c r="F20" s="8" t="inlineStr"/>
      <c r="G20" s="8" t="inlineStr"/>
    </row>
    <row r="21">
      <c r="A21" s="8" t="inlineStr">
        <is>
          <t>P3-04</t>
        </is>
      </c>
      <c r="B21" s="8" t="inlineStr">
        <is>
          <t>Part1/llm/output_3_areaA_patterns.md</t>
        </is>
      </c>
      <c r="C21" s="8" t="inlineStr">
        <is>
          <t>Strategy: orchestrator applies PostDiscoveryFilters only through Filter.apply</t>
        </is>
      </c>
      <c r="D21" s="8" t="inlineStr">
        <is>
          <t>PL/core/EngineDiscoveryOrchestrator.java:56 180-181 227-233</t>
        </is>
      </c>
      <c r="E21" s="8" t="inlineStr">
        <is>
          <t>correct</t>
        </is>
      </c>
      <c r="F21" s="8" t="inlineStr"/>
      <c r="G21" s="8" t="inlineStr"/>
    </row>
    <row r="22">
      <c r="A22" s="8" t="inlineStr">
        <is>
          <t>P3-05</t>
        </is>
      </c>
      <c r="B22" s="8" t="inlineStr">
        <is>
          <t>Part1/llm/output_3_areaA_patterns.md</t>
        </is>
      </c>
      <c r="C22" s="8" t="inlineStr">
        <is>
          <t>Template Method: final getExecutionMode / getLegacyReportingName with hooks overridden in subclasses</t>
        </is>
      </c>
      <c r="D22" s="8" t="inlineStr">
        <is>
          <t>JE/descriptor/JupiterTestDescriptor.java:85 163 187-199; ClassBasedTestDescriptor.java:131 167 172; ClassTestDescriptor.java:86</t>
        </is>
      </c>
      <c r="E22" s="8" t="inlineStr">
        <is>
          <t>correct</t>
        </is>
      </c>
      <c r="F22" s="8" t="inlineStr">
        <is>
          <t>getDefaultExecutionMode is also overridden in ClassTestDescriptor:86 (AI did not cite it)</t>
        </is>
      </c>
      <c r="G22" s="8" t="inlineStr"/>
    </row>
    <row r="23">
      <c r="A23" s="8" t="inlineStr">
        <is>
          <t>P3-06</t>
        </is>
      </c>
      <c r="B23" s="8" t="inlineStr">
        <is>
          <t>Part1/llm/output_3_areaA_patterns.md</t>
        </is>
      </c>
      <c r="C23" s="8" t="inlineStr">
        <is>
          <t>withUniqueId primitive implemented in 10 subclasses</t>
        </is>
      </c>
      <c r="D23" s="8" t="inlineStr">
        <is>
          <t>JE/descriptor/*.java</t>
        </is>
      </c>
      <c r="E23" s="8" t="inlineStr">
        <is>
          <t>correct</t>
        </is>
      </c>
      <c r="F23" s="8" t="inlineStr">
        <is>
          <t>10 files counted</t>
        </is>
      </c>
      <c r="G23" s="8" t="inlineStr"/>
    </row>
    <row r="24">
      <c r="A24" s="8" t="inlineStr">
        <is>
          <t>P3-07</t>
        </is>
      </c>
      <c r="B24" s="8" t="inlineStr">
        <is>
          <t>Part1/llm/output_3_areaA_patterns.md</t>
        </is>
      </c>
      <c r="C24" s="8" t="inlineStr">
        <is>
          <t>Observer: discovery listeners registered on launcher and notified by orchestrator + resolution</t>
        </is>
      </c>
      <c r="D24" s="8" t="inlineStr">
        <is>
          <t>PL/core/DefaultLauncher.java:73-76; PL/core/EngineDiscoveryOrchestrator.java:116-197; PE/support/discovery/EngineDiscoveryRequestResolution.java:91-100</t>
        </is>
      </c>
      <c r="E24" s="8" t="inlineStr">
        <is>
          <t>correct</t>
        </is>
      </c>
      <c r="F24" s="8" t="inlineStr"/>
      <c r="G24" s="8" t="inlineStr">
        <is>
          <t>Gautham Mohanraj</t>
        </is>
      </c>
    </row>
    <row r="25">
      <c r="A25" s="8" t="inlineStr">
        <is>
          <t>P3-08</t>
        </is>
      </c>
      <c r="B25" s="8" t="inlineStr">
        <is>
          <t>Part1/llm/output_3_areaA_patterns.md</t>
        </is>
      </c>
      <c r="C25" s="8" t="inlineStr">
        <is>
          <t>Adapter: DefaultClassDescriptor wraps ClassBasedTestDescriptor behind public ClassDescriptor API</t>
        </is>
      </c>
      <c r="D25" s="8" t="inlineStr">
        <is>
          <t>JE/discovery/DefaultClassDescriptor.java:23-26; AbstractAnnotatedDescriptorWrapper.java:28-47</t>
        </is>
      </c>
      <c r="E25" s="8" t="inlineStr">
        <is>
          <t>correct</t>
        </is>
      </c>
      <c r="F25" s="8" t="inlineStr"/>
      <c r="G25" s="8" t="inlineStr">
        <is>
          <t>Gautham Mohanraj</t>
        </is>
      </c>
    </row>
    <row r="26">
      <c r="A26" s="8" t="inlineStr">
        <is>
          <t>P3-09</t>
        </is>
      </c>
      <c r="B26" s="8" t="inlineStr">
        <is>
          <t>Part1/llm/output_3_areaA_patterns.md</t>
        </is>
      </c>
      <c r="C26" s="8" t="inlineStr">
        <is>
          <t>AbstractTestDescriptor is not Template Method (final getters; never calls getType)</t>
        </is>
      </c>
      <c r="D26" s="8" t="inlineStr">
        <is>
          <t>PE/support/descriptor/AbstractTestDescriptor.java:120 140 150</t>
        </is>
      </c>
      <c r="E26" s="8" t="inlineStr">
        <is>
          <t>correct</t>
        </is>
      </c>
      <c r="F26" s="8" t="inlineStr"/>
      <c r="G26" s="8" t="inlineStr"/>
    </row>
    <row r="27">
      <c r="A27" s="8" t="inlineStr">
        <is>
          <t>P3-10</t>
        </is>
      </c>
      <c r="B27" s="8" t="inlineStr">
        <is>
          <t>Part1/llm/output_3_areaA_patterns.md</t>
        </is>
      </c>
      <c r="C27" s="8" t="inlineStr">
        <is>
          <t>TestIdentifier is a data snapshot holding no TestDescriptor reference</t>
        </is>
      </c>
      <c r="D27" s="8" t="inlineStr">
        <is>
          <t>PL/TestIdentifier.java:49-67</t>
        </is>
      </c>
      <c r="E27" s="8" t="inlineStr">
        <is>
          <t>correct</t>
        </is>
      </c>
      <c r="F27" s="8" t="inlineStr"/>
      <c r="G27" s="8" t="inlineStr"/>
    </row>
    <row r="28">
      <c r="A28" s="8" t="inlineStr">
        <is>
          <t>P3-11</t>
        </is>
      </c>
      <c r="B28" s="8" t="inlineStr">
        <is>
          <t>Part1/llm/output_3_areaA_patterns.md</t>
        </is>
      </c>
      <c r="C28" s="8" t="inlineStr">
        <is>
          <t>CompositeFilter is a real Composite but CompositeTestDescriptorVisitor is Composite only in form</t>
        </is>
      </c>
      <c r="D28" s="8" t="inlineStr">
        <is>
          <t>PE/CompositeFilter.java:29-65; PE/CompositeTestDescriptorVisitor.java:20-39</t>
        </is>
      </c>
      <c r="E28" s="8" t="inlineStr">
        <is>
          <t>partially correct</t>
        </is>
      </c>
      <c r="F28" s="8" t="inlineStr">
        <is>
          <t>inconsistent rule. Decision: count CompositeFilter (combines filters into one Filter used by the orchestrator); reject CompositeTestDescriptorVisitor (only runs callbacks in sequence, no tree is built)</t>
        </is>
      </c>
      <c r="G28" s="8" t="inlineStr"/>
    </row>
    <row r="29">
      <c r="A29" s="8" t="inlineStr">
        <is>
          <t>P3-12</t>
        </is>
      </c>
      <c r="B29" s="8" t="inlineStr">
        <is>
          <t>Part1/llm/output_3_areaA_patterns.md</t>
        </is>
      </c>
      <c r="C29" s="8" t="inlineStr">
        <is>
          <t>Strategy (filters) and Composite (CompositeFilter) reported as separate patterns</t>
        </is>
      </c>
      <c r="D29" s="8" t="inlineStr">
        <is>
          <t>same classes</t>
        </is>
      </c>
      <c r="E29" s="8" t="inlineStr">
        <is>
          <t>partially correct</t>
        </is>
      </c>
      <c r="F29" s="8" t="inlineStr">
        <is>
          <t>Decision: count 2 instances with an overlap note - Strategy = interchangeable filter rules, Composite = combining them</t>
        </is>
      </c>
      <c r="G29" s="8" t="inlineStr"/>
    </row>
    <row r="30">
      <c r="A30" s="8" t="inlineStr">
        <is>
          <t>P4-01</t>
        </is>
      </c>
      <c r="B30" s="8" t="inlineStr">
        <is>
          <t>Part1/llm/output_4_areaB_flow.md</t>
        </is>
      </c>
      <c r="C30" s="8" t="inlineStr">
        <is>
          <t>DefaultLauncher.execute opens a request-level store (try-with-resources) and calls the orchestrator</t>
        </is>
      </c>
      <c r="D30" s="8" t="inlineStr">
        <is>
          <t>PL/core/DefaultLauncher.java:136-137</t>
        </is>
      </c>
      <c r="E30" s="8" t="inlineStr">
        <is>
          <t>correct</t>
        </is>
      </c>
      <c r="F30" s="8" t="inlineStr"/>
      <c r="G30" s="8" t="inlineStr"/>
    </row>
    <row r="31">
      <c r="A31" s="8" t="inlineStr">
        <is>
          <t>P4-02</t>
        </is>
      </c>
      <c r="B31" s="8" t="inlineStr">
        <is>
          <t>Part1/llm/output_4_areaB_flow.md</t>
        </is>
      </c>
      <c r="C31" s="8" t="inlineStr">
        <is>
          <t>Orchestrator reports plan started then calls TestEngine.execute(ExecutionRequest) per engine</t>
        </is>
      </c>
      <c r="D31" s="8" t="inlineStr">
        <is>
          <t>PL/core/EngineExecutionOrchestrator.java:104 and 256</t>
        </is>
      </c>
      <c r="E31" s="8" t="inlineStr">
        <is>
          <t>correct</t>
        </is>
      </c>
      <c r="F31" s="8" t="inlineStr"/>
      <c r="G31" s="8" t="inlineStr"/>
    </row>
    <row r="32">
      <c r="A32" s="8" t="inlineStr">
        <is>
          <t>P4-03</t>
        </is>
      </c>
      <c r="B32" s="8" t="inlineStr">
        <is>
          <t>Part1/llm/output_4_areaB_flow.md</t>
        </is>
      </c>
      <c r="C32" s="8" t="inlineStr">
        <is>
          <t>HierarchicalTestExecutor runs NodeTreeWalker and wraps the root in a NodeTestTask</t>
        </is>
      </c>
      <c r="D32" s="8" t="inlineStr">
        <is>
          <t>PE/support/hierarchical/HierarchicalTestExecutor.java:58 and 65</t>
        </is>
      </c>
      <c r="E32" s="8" t="inlineStr">
        <is>
          <t>correct</t>
        </is>
      </c>
      <c r="F32" s="8" t="inlineStr"/>
      <c r="G32" s="8" t="inlineStr"/>
    </row>
    <row r="33">
      <c r="A33" s="8" t="inlineStr">
        <is>
          <t>P4-04</t>
        </is>
      </c>
      <c r="B33" s="8" t="inlineStr">
        <is>
          <t>Part1/llm/output_4_areaB_flow.md</t>
        </is>
      </c>
      <c r="C33" s="8" t="inlineStr">
        <is>
          <t>NodeTestTask order: prepare, shouldBeSkipped, before, execute, children, after, cleanUp, report</t>
        </is>
      </c>
      <c r="D33" s="8" t="inlineStr">
        <is>
          <t>PE/support/hierarchical/NodeTestTask.java:106-121 144-192</t>
        </is>
      </c>
      <c r="E33" s="8" t="inlineStr">
        <is>
          <t>correct</t>
        </is>
      </c>
      <c r="F33" s="8" t="inlineStr"/>
      <c r="G33" s="8" t="inlineStr"/>
    </row>
    <row r="34">
      <c r="A34" s="8" t="inlineStr">
        <is>
          <t>P4-05</t>
        </is>
      </c>
      <c r="B34" s="8" t="inlineStr">
        <is>
          <t>Part1/llm/output_4_areaB_flow.md</t>
        </is>
      </c>
      <c r="C34" s="8" t="inlineStr">
        <is>
          <t>Method prepare creates a new test instance (per-method lifecycle)</t>
        </is>
      </c>
      <c r="D34" s="8" t="inlineStr">
        <is>
          <t>JE/descriptor/TestMethodTestDescriptor.java:113-130</t>
        </is>
      </c>
      <c r="E34" s="8" t="inlineStr">
        <is>
          <t>correct</t>
        </is>
      </c>
      <c r="F34" s="8" t="inlineStr"/>
      <c r="G34" s="8" t="inlineStr"/>
    </row>
    <row r="35">
      <c r="A35" s="8" t="inlineStr">
        <is>
          <t>P4-06</t>
        </is>
      </c>
      <c r="B35" s="8" t="inlineStr">
        <is>
          <t>Part1/llm/output_4_areaB_flow.md</t>
        </is>
      </c>
      <c r="C35" s="8" t="inlineStr">
        <is>
          <t>For a @Disabled method 'no instance is created and nothing in the method runs'</t>
        </is>
      </c>
      <c r="D35" s="8" t="inlineStr">
        <is>
          <t>PE/support/hierarchical/NodeTestTask.java:109-120; JE/descriptor/TestMethodTestDescriptor.java:126-129</t>
        </is>
      </c>
      <c r="E35" s="8" t="inlineStr">
        <is>
          <t>incorrect</t>
        </is>
      </c>
      <c r="F35" s="8" t="inlineStr">
        <is>
          <t>prepare() runs BEFORE checkWhetherSkipped(), and TestMethodTestDescriptor.prepare creates the test instance (line 127). So the CalcTest constructor DOES run for divides(); cleanUp also runs (context != null). Only @BeforeEach/test body/@AfterEach are skipped.</t>
        </is>
      </c>
      <c r="G35" s="8" t="inlineStr"/>
    </row>
    <row r="36">
      <c r="A36" s="8" t="inlineStr">
        <is>
          <t>P4-07</t>
        </is>
      </c>
      <c r="B36" s="8" t="inlineStr">
        <is>
          <t>Part1/llm/output_4_areaB_flow.md</t>
        </is>
      </c>
      <c r="C36" s="8" t="inlineStr">
        <is>
          <t>Skip reason text is '&lt;method&gt; is @Disabled' when no reason is given</t>
        </is>
      </c>
      <c r="D36" s="8" t="inlineStr">
        <is>
          <t>JE/extension/DisabledCondition.java:50</t>
        </is>
      </c>
      <c r="E36" s="8" t="inlineStr">
        <is>
          <t>correct</t>
        </is>
      </c>
      <c r="F36" s="8" t="inlineStr"/>
      <c r="G36" s="8" t="inlineStr"/>
    </row>
    <row r="37">
      <c r="A37" s="8" t="inlineStr">
        <is>
          <t>P4b-01</t>
        </is>
      </c>
      <c r="B37" s="8" t="inlineStr">
        <is>
          <t>Part1/llm/output_4b_correction.md</t>
        </is>
      </c>
      <c r="C37" s="8" t="inlineStr">
        <is>
          <t>Model accepts the correction: instance is created for a @Disabled method; @BeforeEach/body/@AfterEach skipped; cleanUp still runs</t>
        </is>
      </c>
      <c r="D37" s="8" t="inlineStr">
        <is>
          <t>PE/support/hierarchical/NodeTestTask.java:109-120; JE/descriptor/TestMethodTestDescriptor.java:126-129</t>
        </is>
      </c>
      <c r="E37" s="8" t="inlineStr">
        <is>
          <t>correct</t>
        </is>
      </c>
      <c r="F37" s="8" t="inlineStr">
        <is>
          <t>confirms P4-06 correction</t>
        </is>
      </c>
      <c r="G37" s="8" t="inlineStr"/>
    </row>
    <row r="38">
      <c r="A38" s="8" t="inlineStr">
        <is>
          <t>P4b-02</t>
        </is>
      </c>
      <c r="B38" s="8" t="inlineStr">
        <is>
          <t>Part1/llm/output_4b_correction.md</t>
        </is>
      </c>
      <c r="C38" s="8" t="inlineStr">
        <is>
          <t>If the constructor throws, divides() is reported as failed rather than skipped</t>
        </is>
      </c>
      <c r="D38" s="8" t="inlineStr">
        <is>
          <t>JE/descriptor/JupiterTestDescriptor.java:227-228; PE/support/hierarchical/NodeTestTask.java:112-113</t>
        </is>
      </c>
      <c r="E38" s="8" t="inlineStr">
        <is>
          <t>correct</t>
        </is>
      </c>
      <c r="F38" s="8" t="inlineStr">
        <is>
          <t>mechanism slightly imprecise: the skip check IS called, but JupiterTestDescriptor.shouldBeSkipped first calls context.getThrowableCollector().assertEmpty() (line 228), which rethrows the constructor error before any condition is evaluated</t>
        </is>
      </c>
      <c r="G38" s="8" t="inlineStr"/>
    </row>
    <row r="39">
      <c r="A39" s="8" t="inlineStr">
        <is>
          <t>P5-01</t>
        </is>
      </c>
      <c r="B39" s="8" t="inlineStr">
        <is>
          <t>Part1/llm/output_5_areaB_patterns.md</t>
        </is>
      </c>
      <c r="C39" s="8" t="inlineStr">
        <is>
          <t>All 103 cited line numbers contain the quoted code</t>
        </is>
      </c>
      <c r="D39" s="8" t="inlineStr">
        <is>
          <t>Part1/evidence/claims_5_areaB.txt (run check_lines.py)</t>
        </is>
      </c>
      <c r="E39" s="8" t="inlineStr">
        <is>
          <t>correct</t>
        </is>
      </c>
      <c r="F39" s="8" t="inlineStr">
        <is>
          <t>103/103 exact</t>
        </is>
      </c>
      <c r="G39" s="8" t="inlineStr"/>
    </row>
    <row r="40">
      <c r="A40" s="8" t="inlineStr">
        <is>
          <t>P5-02</t>
        </is>
      </c>
      <c r="B40" s="8" t="inlineStr">
        <is>
          <t>Part1/llm/output_5_areaB_patterns.md</t>
        </is>
      </c>
      <c r="C40" s="8" t="inlineStr">
        <is>
          <t>Template Method: final HierarchicalTestEngine.execute with abstract createExecutionContext; JupiterTestEngine does not override execute</t>
        </is>
      </c>
      <c r="D40" s="8" t="inlineStr">
        <is>
          <t>PH/HierarchicalTestEngine.java:53-59 117; JE/JupiterTestEngine.java:44 90</t>
        </is>
      </c>
      <c r="E40" s="8" t="inlineStr">
        <is>
          <t>correct</t>
        </is>
      </c>
      <c r="F40" s="8" t="inlineStr"/>
      <c r="G40" s="8" t="inlineStr">
        <is>
          <t>Gautham Mohanraj</t>
        </is>
      </c>
    </row>
    <row r="41">
      <c r="A41" s="8" t="inlineStr">
        <is>
          <t>P5-03</t>
        </is>
      </c>
      <c r="B41" s="8" t="inlineStr">
        <is>
          <t>Part1/llm/output_5_areaB_patterns.md</t>
        </is>
      </c>
      <c r="C41" s="8" t="inlineStr">
        <is>
          <t>Factory Method: create* methods overridden by JupiterTestEngine</t>
        </is>
      </c>
      <c r="D41" s="8" t="inlineStr">
        <is>
          <t>PH/HierarchicalTestEngine.java:83-107; JE/JupiterTestEngine.java:80-100</t>
        </is>
      </c>
      <c r="E41" s="8" t="inlineStr">
        <is>
          <t>correct</t>
        </is>
      </c>
      <c r="F41" s="8" t="inlineStr">
        <is>
          <t>same three methods as the Template Method steps (overlap) - see decision</t>
        </is>
      </c>
      <c r="G41" s="8" t="inlineStr"/>
    </row>
    <row r="42">
      <c r="A42" s="8" t="inlineStr">
        <is>
          <t>P5-04</t>
        </is>
      </c>
      <c r="B42" s="8" t="inlineStr">
        <is>
          <t>Part1/llm/output_5_areaB_patterns.md</t>
        </is>
      </c>
      <c r="C42" s="8" t="inlineStr">
        <is>
          <t>Strategy: 3 executor services behind submit/invokeAll; NodeTestTask only calls the interface</t>
        </is>
      </c>
      <c r="D42" s="8" t="inlineStr">
        <is>
          <t>PH/HierarchicalTestExecutorService.java:34-74; PH/NodeTestTask.java:180</t>
        </is>
      </c>
      <c r="E42" s="8" t="inlineStr">
        <is>
          <t>correct</t>
        </is>
      </c>
      <c r="F42" s="8" t="inlineStr"/>
      <c r="G42" s="8" t="inlineStr"/>
    </row>
    <row r="43">
      <c r="A43" s="8" t="inlineStr">
        <is>
          <t>P5-05</t>
        </is>
      </c>
      <c r="B43" s="8" t="inlineStr">
        <is>
          <t>Part1/llm/output_5_areaB_patterns.md</t>
        </is>
      </c>
      <c r="C43" s="8" t="inlineStr">
        <is>
          <t>Strategy: FIXED/DYNAMIC/CUSTOM enum constants chosen by config (default dynamic)</t>
        </is>
      </c>
      <c r="D43" s="8" t="inlineStr">
        <is>
          <t>PH/DefaultParallelExecutionConfigurationStrategy.java:33-225</t>
        </is>
      </c>
      <c r="E43" s="8" t="inlineStr">
        <is>
          <t>correct</t>
        </is>
      </c>
      <c r="F43" s="8" t="inlineStr"/>
      <c r="G43" s="8" t="inlineStr"/>
    </row>
    <row r="44">
      <c r="A44" s="8" t="inlineStr">
        <is>
          <t>P5-06</t>
        </is>
      </c>
      <c r="B44" s="8" t="inlineStr">
        <is>
          <t>Part1/llm/output_5_areaB_patterns.md</t>
        </is>
      </c>
      <c r="C44" s="8" t="inlineStr">
        <is>
          <t>Decorator: DelegatingLauncher &gt; InterceptingLauncher &gt; DefaultLauncher; interceptors nested</t>
        </is>
      </c>
      <c r="D44" s="8" t="inlineStr">
        <is>
          <t>PL/core/DefaultLauncherSession.java:67-70 136-155</t>
        </is>
      </c>
      <c r="E44" s="8" t="inlineStr">
        <is>
          <t>correct</t>
        </is>
      </c>
      <c r="F44" s="8" t="inlineStr"/>
      <c r="G44" s="8" t="inlineStr"/>
    </row>
    <row r="45">
      <c r="A45" s="8" t="inlineStr">
        <is>
          <t>P5-07</t>
        </is>
      </c>
      <c r="B45" s="8" t="inlineStr">
        <is>
          <t>Part1/llm/output_5_areaB_patterns.md</t>
        </is>
      </c>
      <c r="C45" s="8" t="inlineStr">
        <is>
          <t>Decorator: engine-listener wrappers stacked conditionally by EngineExecutionOrchestrator</t>
        </is>
      </c>
      <c r="D45" s="8" t="inlineStr">
        <is>
          <t>PL/core/EngineExecutionOrchestrator.java:148-149 197-198 253</t>
        </is>
      </c>
      <c r="E45" s="8" t="inlineStr">
        <is>
          <t>correct</t>
        </is>
      </c>
      <c r="F45" s="8" t="inlineStr">
        <is>
          <t>listener classes - also part of Area C</t>
        </is>
      </c>
      <c r="G45" s="8" t="inlineStr"/>
    </row>
    <row r="46">
      <c r="A46" s="8" t="inlineStr">
        <is>
          <t>P5-08</t>
        </is>
      </c>
      <c r="B46" s="8" t="inlineStr">
        <is>
          <t>Part1/llm/output_5_areaB_patterns.md</t>
        </is>
      </c>
      <c r="C46" s="8" t="inlineStr">
        <is>
          <t>Adapter: ExecutionListenerAdapter converts TestDescriptor events to TestIdentifier events</t>
        </is>
      </c>
      <c r="D46" s="8" t="inlineStr">
        <is>
          <t>PL/core/ExecutionListenerAdapter.java:28-71</t>
        </is>
      </c>
      <c r="E46" s="8" t="inlineStr">
        <is>
          <t>correct</t>
        </is>
      </c>
      <c r="F46" s="8" t="inlineStr">
        <is>
          <t>listener class - also part of Area C</t>
        </is>
      </c>
      <c r="G46" s="8" t="inlineStr"/>
    </row>
    <row r="47">
      <c r="A47" s="8" t="inlineStr">
        <is>
          <t>P5-09</t>
        </is>
      </c>
      <c r="B47" s="8" t="inlineStr">
        <is>
          <t>Part1/llm/output_5_areaB_patterns.md</t>
        </is>
      </c>
      <c r="C47" s="8" t="inlineStr">
        <is>
          <t>Observer (execution): NodeTestTask pushes started/skipped/finished to EngineExecutionListener</t>
        </is>
      </c>
      <c r="D47" s="8" t="inlineStr">
        <is>
          <t>PH/NodeTestTask.java:158 209 224</t>
        </is>
      </c>
      <c r="E47" s="8" t="inlineStr">
        <is>
          <t>correct</t>
        </is>
      </c>
      <c r="F47" s="8" t="inlineStr">
        <is>
          <t>also part of Area C</t>
        </is>
      </c>
      <c r="G47" s="8" t="inlineStr"/>
    </row>
    <row r="48">
      <c r="A48" s="8" t="inlineStr">
        <is>
          <t>P5-10</t>
        </is>
      </c>
      <c r="B48" s="8" t="inlineStr">
        <is>
          <t>Part1/llm/output_5_areaB_patterns.md</t>
        </is>
      </c>
      <c r="C48" s="8" t="inlineStr">
        <is>
          <t>Composite reused in a new role (task tree mirrors descriptor tree)</t>
        </is>
      </c>
      <c r="D48" s="8" t="inlineStr">
        <is>
          <t>PH/NodeTestTask.java:169-180</t>
        </is>
      </c>
      <c r="E48" s="8" t="inlineStr">
        <is>
          <t>correct</t>
        </is>
      </c>
      <c r="F48" s="8" t="inlineStr">
        <is>
          <t>not a new instance - it is A1 with a new client (NodeTestTask)</t>
        </is>
      </c>
      <c r="G48" s="8" t="inlineStr"/>
    </row>
    <row r="49">
      <c r="A49" s="8" t="inlineStr">
        <is>
          <t>P5-11</t>
        </is>
      </c>
      <c r="B49" s="8" t="inlineStr">
        <is>
          <t>Part1/llm/output_5_areaB_patterns.md</t>
        </is>
      </c>
      <c r="C49" s="8" t="inlineStr">
        <is>
          <t>Command: NodeTestTask implements TestTask and is run by the executor (invoker)</t>
        </is>
      </c>
      <c r="D49" s="8" t="inlineStr">
        <is>
          <t>PH/HierarchicalTestExecutorService.java:88-114; PH/NodeTestTask.java:46</t>
        </is>
      </c>
      <c r="E49" s="8" t="inlineStr">
        <is>
          <t>correct</t>
        </is>
      </c>
      <c r="F49" s="8" t="inlineStr"/>
      <c r="G49" s="8" t="inlineStr"/>
    </row>
    <row r="50">
      <c r="A50" s="8" t="inlineStr">
        <is>
          <t>P5-12</t>
        </is>
      </c>
      <c r="B50" s="8" t="inlineStr">
        <is>
          <t>Part1/llm/output_5_areaB_patterns.md</t>
        </is>
      </c>
      <c r="C50" s="8" t="inlineStr">
        <is>
          <t>Null Object: NodeUtils.asNode returns a do-nothing Node</t>
        </is>
      </c>
      <c r="D50" s="8" t="inlineStr">
        <is>
          <t>PH/NodeUtils.java:25-30</t>
        </is>
      </c>
      <c r="E50" s="8" t="inlineStr">
        <is>
          <t>correct</t>
        </is>
      </c>
      <c r="F50" s="8" t="inlineStr"/>
      <c r="G50" s="8" t="inlineStr"/>
    </row>
    <row r="51">
      <c r="A51" s="8" t="inlineStr">
        <is>
          <t>P5-13</t>
        </is>
      </c>
      <c r="B51" s="8" t="inlineStr">
        <is>
          <t>Part1/llm/output_5_areaB_patterns.md</t>
        </is>
      </c>
      <c r="C51" s="8" t="inlineStr">
        <is>
          <t>Rejections: static factory; TestEngine is a plug-in SPI (every engine runs); ClosedLauncher throws; LauncherStoreFacade not a Facade</t>
        </is>
      </c>
      <c r="D51" s="8" t="inlineStr">
        <is>
          <t>PH/ParallelHierarchicalTestExecutorServiceFactory.java:86-93; PL/core/EngineExecutionOrchestrator.java:188; PL/core/DefaultLauncherSession.java:98-132; JE/execution/LauncherStoreFacade.java:46-56</t>
        </is>
      </c>
      <c r="E51" s="8" t="inlineStr">
        <is>
          <t>correct</t>
        </is>
      </c>
      <c r="F51" s="8" t="inlineStr"/>
      <c r="G51" s="8" t="inlineStr"/>
    </row>
    <row r="52">
      <c r="A52" s="8" t="inlineStr">
        <is>
          <t>P5-14</t>
        </is>
      </c>
      <c r="B52" s="8" t="inlineStr">
        <is>
          <t>Part1/llm/output_5_areaB_patterns.md</t>
        </is>
      </c>
      <c r="C52" s="8" t="inlineStr">
        <is>
          <t>NodeTestTask + Node is a 'hook interface' not pure Template Method</t>
        </is>
      </c>
      <c r="D52" s="8" t="inlineStr">
        <is>
          <t>PH/NodeTestTask.java:106-121; PH/Node.java:38-125</t>
        </is>
      </c>
      <c r="E52" s="8" t="inlineStr">
        <is>
          <t>correct</t>
        </is>
      </c>
      <c r="F52" s="8" t="inlineStr">
        <is>
          <t>recorded as UNCERTAIN Template Method</t>
        </is>
      </c>
      <c r="G52" s="8" t="inlineStr"/>
    </row>
    <row r="53">
      <c r="A53" s="8" t="inlineStr">
        <is>
          <t>P6-01</t>
        </is>
      </c>
      <c r="B53" s="8" t="inlineStr">
        <is>
          <t>Part1/llm/output_6_areaC_flow.md</t>
        </is>
      </c>
      <c r="C53" s="8" t="inlineStr">
        <is>
          <t>Chain: OutcomeDelaying &gt; StackTracePruning &gt; CompositeEngine &gt; ExecutionListenerAdapter &gt; CompositeTestExecutionListener</t>
        </is>
      </c>
      <c r="D53" s="8" t="inlineStr">
        <is>
          <t>PL/core/EngineExecutionOrchestrator.java:145-149 186-198 253-256</t>
        </is>
      </c>
      <c r="E53" s="8" t="inlineStr">
        <is>
          <t>correct</t>
        </is>
      </c>
      <c r="F53" s="8" t="inlineStr">
        <is>
          <t>optional MemoryCleanupListener (when enabled) is omitted from the picture</t>
        </is>
      </c>
      <c r="G53" s="8" t="inlineStr"/>
    </row>
    <row r="54">
      <c r="A54" s="8" t="inlineStr">
        <is>
          <t>P6-02</t>
        </is>
      </c>
      <c r="B54" s="8" t="inlineStr">
        <is>
          <t>Part1/llm/output_6_areaC_flow.md</t>
        </is>
      </c>
      <c r="C54" s="8" t="inlineStr">
        <is>
          <t>OutcomeDelaying passes test events through but holds back the engine's finished event until execute() returns</t>
        </is>
      </c>
      <c r="D54" s="8" t="inlineStr">
        <is>
          <t>PL/core/OutcomeDelayingEngineExecutionListener.java:65-81; PL/core/EngineExecutionOrchestrator.java:258</t>
        </is>
      </c>
      <c r="E54" s="8" t="inlineStr">
        <is>
          <t>correct</t>
        </is>
      </c>
      <c r="F54" s="8" t="inlineStr">
        <is>
          <t>it also holds back an engine-level skipped event</t>
        </is>
      </c>
      <c r="G54" s="8" t="inlineStr"/>
    </row>
    <row r="55">
      <c r="A55" s="8" t="inlineStr">
        <is>
          <t>P6-03</t>
        </is>
      </c>
      <c r="B55" s="8" t="inlineStr">
        <is>
          <t>Part1/llm/output_6_areaC_flow.md</t>
        </is>
      </c>
      <c r="C55" s="8" t="inlineStr">
        <is>
          <t>TestAbortedException gives ABORTED</t>
        </is>
      </c>
      <c r="D55" s="8" t="inlineStr">
        <is>
          <t>PE/support/hierarchical/OpenTest4JAwareThrowableCollector.java:29</t>
        </is>
      </c>
      <c r="E55" s="8" t="inlineStr">
        <is>
          <t>correct</t>
        </is>
      </c>
      <c r="F55" s="8" t="inlineStr"/>
      <c r="G55" s="8" t="inlineStr"/>
    </row>
    <row r="56">
      <c r="A56" s="8" t="inlineStr">
        <is>
          <t>P6-04</t>
        </is>
      </c>
      <c r="B56" s="8" t="inlineStr">
        <is>
          <t>Part1/llm/output_6_areaC_flow.md</t>
        </is>
      </c>
      <c r="C56" s="8" t="inlineStr">
        <is>
          <t>publishEntry &gt; publishReportEntry &gt; reportingEntryPublished on the same chain</t>
        </is>
      </c>
      <c r="D56" s="8" t="inlineStr">
        <is>
          <t>JE/extension/DefaultTestReporter.java:33-34; JE/descriptor/AbstractExtensionContext.java:142</t>
        </is>
      </c>
      <c r="E56" s="8" t="inlineStr">
        <is>
          <t>correct</t>
        </is>
      </c>
      <c r="F56" s="8" t="inlineStr"/>
      <c r="G56" s="8" t="inlineStr"/>
    </row>
    <row r="57">
      <c r="A57" s="8" t="inlineStr">
        <is>
          <t>P6-05</t>
        </is>
      </c>
      <c r="B57" s="8" t="inlineStr">
        <is>
          <t>Part1/llm/output_6_areaC_flow.md</t>
        </is>
      </c>
      <c r="C57" s="8" t="inlineStr">
        <is>
          <t>Summary created at testPlanExecutionStarted; tests found counted from the TestPlan</t>
        </is>
      </c>
      <c r="D57" s="8" t="inlineStr">
        <is>
          <t>PL/listeners/SummaryGeneratingListener.java (testPlanExecutionStarted); PL/listeners/MutableTestExecutionSummary.java:72-73</t>
        </is>
      </c>
      <c r="E57" s="8" t="inlineStr">
        <is>
          <t>correct</t>
        </is>
      </c>
      <c r="F57" s="8" t="inlineStr"/>
      <c r="G57" s="8" t="inlineStr"/>
    </row>
    <row r="58">
      <c r="A58" s="8" t="inlineStr">
        <is>
          <t>P6-06</t>
        </is>
      </c>
      <c r="B58" s="8" t="inlineStr">
        <is>
          <t>Part1/llm/output_6_areaC_flow.md</t>
        </is>
      </c>
      <c r="C58" s="8" t="inlineStr">
        <is>
          <t>CompositeTestExecutionListener: started in registration order; finished in reverse; one listener's exception is logged and others still notified</t>
        </is>
      </c>
      <c r="D58" s="8" t="inlineStr">
        <is>
          <t>PL/core/CompositeTestExecutionListener.java:45-116</t>
        </is>
      </c>
      <c r="E58" s="8" t="inlineStr">
        <is>
          <t>correct</t>
        </is>
      </c>
      <c r="F58" s="8" t="inlineStr"/>
      <c r="G58" s="8" t="inlineStr"/>
    </row>
    <row r="59">
      <c r="A59" s="8" t="inlineStr">
        <is>
          <t>P7-01</t>
        </is>
      </c>
      <c r="B59" s="8" t="inlineStr">
        <is>
          <t>Part1/llm/output_7_areaC_patterns.md</t>
        </is>
      </c>
      <c r="C59" s="8" t="inlineStr">
        <is>
          <t>All 75 cited line numbers contain the quoted code</t>
        </is>
      </c>
      <c r="D59" s="8" t="inlineStr">
        <is>
          <t>Part1/evidence/claims_7_areaC.txt (run check_lines.py)</t>
        </is>
      </c>
      <c r="E59" s="8" t="inlineStr">
        <is>
          <t>correct</t>
        </is>
      </c>
      <c r="F59" s="8" t="inlineStr">
        <is>
          <t>75/75 exact</t>
        </is>
      </c>
      <c r="G59" s="8" t="inlineStr">
        <is>
          <t>Gautham Mohanraj</t>
        </is>
      </c>
    </row>
    <row r="60">
      <c r="A60" s="8" t="inlineStr">
        <is>
          <t>P7-02</t>
        </is>
      </c>
      <c r="B60" s="8" t="inlineStr">
        <is>
          <t>Part1/llm/output_7_areaC_patterns.md</t>
        </is>
      </c>
      <c r="C60" s="8" t="inlineStr">
        <is>
          <t>Observer (client side): TestExecutionListener observers attached 3 ways and notified by CompositeTestExecutionListener.notifyEach with failure isolation</t>
        </is>
      </c>
      <c r="D60" s="8" t="inlineStr">
        <is>
          <t>PL/core/DefaultLauncher.java:80-83; PL/core/LauncherFactory.java:197-209; PL/core/EngineExecutionOrchestrator.java:240-245; PL/core/CompositeTestExecutionListener.java:104-112</t>
        </is>
      </c>
      <c r="E60" s="8" t="inlineStr">
        <is>
          <t>correct</t>
        </is>
      </c>
      <c r="F60" s="8" t="inlineStr">
        <is>
          <t>new collaboration vs B8 (B8 = engine side EngineExecutionListener)</t>
        </is>
      </c>
      <c r="G60" s="8" t="inlineStr"/>
    </row>
    <row r="61">
      <c r="A61" s="8" t="inlineStr">
        <is>
          <t>P7-03</t>
        </is>
      </c>
      <c r="B61" s="8" t="inlineStr">
        <is>
          <t>Part1/llm/output_7_areaC_patterns.md</t>
        </is>
      </c>
      <c r="C61" s="8" t="inlineStr">
        <is>
          <t>Observer (session): LauncherSessionListener notified on session open/close</t>
        </is>
      </c>
      <c r="D61" s="8" t="inlineStr">
        <is>
          <t>PL/core/DefaultLauncherSession.java:71 87</t>
        </is>
      </c>
      <c r="E61" s="8" t="inlineStr">
        <is>
          <t>correct</t>
        </is>
      </c>
      <c r="F61" s="8" t="inlineStr"/>
      <c r="G61" s="8" t="inlineStr"/>
    </row>
    <row r="62">
      <c r="A62" s="8" t="inlineStr">
        <is>
          <t>P7-04</t>
        </is>
      </c>
      <c r="B62" s="8" t="inlineStr">
        <is>
          <t>Part1/llm/output_7_areaC_patterns.md</t>
        </is>
      </c>
      <c r="C62" s="8" t="inlineStr">
        <is>
          <t>Composite listeners are flat multicasters - Composite uncertain</t>
        </is>
      </c>
      <c r="D62" s="8" t="inlineStr">
        <is>
          <t>PL/core/CompositeTestExecutionListener.java:28; PL/core/ListenerRegistry.java:87-90</t>
        </is>
      </c>
      <c r="E62" s="8" t="inlineStr">
        <is>
          <t>correct</t>
        </is>
      </c>
      <c r="F62" s="8" t="inlineStr">
        <is>
          <t>consistent with our Area A rule: they only broadcast, they do not combine children's results into one answer (unlike CompositeFilter)</t>
        </is>
      </c>
      <c r="G62" s="8" t="inlineStr"/>
    </row>
    <row r="63">
      <c r="A63" s="8" t="inlineStr">
        <is>
          <t>P7-05</t>
        </is>
      </c>
      <c r="B63" s="8" t="inlineStr">
        <is>
          <t>Part1/llm/output_7_areaC_patterns.md</t>
        </is>
      </c>
      <c r="C63" s="8" t="inlineStr">
        <is>
          <t>Strategy: IterationOrder ORIGINAL/REVERSED used by notifyEach</t>
        </is>
      </c>
      <c r="D63" s="8" t="inlineStr">
        <is>
          <t>PL/core/IterationOrder.java:18-34</t>
        </is>
      </c>
      <c r="E63" s="8" t="inlineStr">
        <is>
          <t>correct</t>
        </is>
      </c>
      <c r="F63" s="8" t="inlineStr"/>
      <c r="G63" s="8" t="inlineStr"/>
    </row>
    <row r="64">
      <c r="A64" s="8" t="inlineStr">
        <is>
          <t>P7-06</t>
        </is>
      </c>
      <c r="B64" s="8" t="inlineStr">
        <is>
          <t>Part1/llm/output_7_areaC_patterns.md</t>
        </is>
      </c>
      <c r="C64" s="8" t="inlineStr">
        <is>
          <t>Strategy: LoggingListener log sink is a pluggable BiConsumer</t>
        </is>
      </c>
      <c r="D64" s="8" t="inlineStr">
        <is>
          <t>PL/listeners/LoggingListener.java:62-88</t>
        </is>
      </c>
      <c r="E64" s="8" t="inlineStr">
        <is>
          <t>correct</t>
        </is>
      </c>
      <c r="F64" s="8" t="inlineStr"/>
      <c r="G64" s="8" t="inlineStr"/>
    </row>
    <row r="65">
      <c r="A65" s="8" t="inlineStr">
        <is>
          <t>P7-07</t>
        </is>
      </c>
      <c r="B65" s="8" t="inlineStr">
        <is>
          <t>Part1/llm/output_7_areaC_patterns.md</t>
        </is>
      </c>
      <c r="C65" s="8" t="inlineStr">
        <is>
          <t>Strategy: ListenerRegistry composite factory passed as a Function</t>
        </is>
      </c>
      <c r="D65" s="8" t="inlineStr">
        <is>
          <t>PL/core/ListenerRegistry.java:29-89</t>
        </is>
      </c>
      <c r="E65" s="8" t="inlineStr">
        <is>
          <t>partially correct</t>
        </is>
      </c>
      <c r="F65" s="8" t="inlineStr">
        <is>
          <t>the AI itself says it could be called an injected factory; recorded as UNCERTAIN Strategy</t>
        </is>
      </c>
      <c r="G65" s="8" t="inlineStr"/>
    </row>
    <row r="66">
      <c r="A66" s="8" t="inlineStr">
        <is>
          <t>P7-08</t>
        </is>
      </c>
      <c r="B66" s="8" t="inlineStr">
        <is>
          <t>Part1/llm/output_7_areaC_patterns.md</t>
        </is>
      </c>
      <c r="C66" s="8" t="inlineStr">
        <is>
          <t>Template Method rejected (only optional callbacks / overloads)</t>
        </is>
      </c>
      <c r="D66" s="8" t="inlineStr">
        <is>
          <t>PL/TestExecutionListener.java:86-202; JA/TestReporter.java:58-72</t>
        </is>
      </c>
      <c r="E66" s="8" t="inlineStr">
        <is>
          <t>correct</t>
        </is>
      </c>
      <c r="F66" s="8" t="inlineStr"/>
      <c r="G66" s="8" t="inlineStr"/>
    </row>
    <row r="67">
      <c r="A67" s="8" t="inlineStr">
        <is>
          <t>P7-09</t>
        </is>
      </c>
      <c r="B67" s="8" t="inlineStr">
        <is>
          <t>Part1/llm/output_7_areaC_patterns.md</t>
        </is>
      </c>
      <c r="C67" s="8" t="inlineStr">
        <is>
          <t>Adapter: DefaultTestReporter turns TestReporter.publishEntry into ExtensionContext.publishReportEntry</t>
        </is>
      </c>
      <c r="D67" s="8" t="inlineStr">
        <is>
          <t>JE/extension/DefaultTestReporter.java:24-34; JE/descriptor/AbstractExtensionContext.java:141-142</t>
        </is>
      </c>
      <c r="E67" s="8" t="inlineStr">
        <is>
          <t>correct</t>
        </is>
      </c>
      <c r="F67" s="8" t="inlineStr"/>
      <c r="G67" s="8" t="inlineStr"/>
    </row>
    <row r="68">
      <c r="A68" s="8" t="inlineStr">
        <is>
          <t>P7-10</t>
        </is>
      </c>
      <c r="B68" s="8" t="inlineStr">
        <is>
          <t>Part1/llm/output_7_areaC_patterns.md</t>
        </is>
      </c>
      <c r="C68" s="8" t="inlineStr">
        <is>
          <t>Decorator: StreamInterceptor extends PrintStream and forwards every write to the original stream</t>
        </is>
      </c>
      <c r="D68" s="8" t="inlineStr">
        <is>
          <t>PL/core/StreamInterceptor.java:27-90</t>
        </is>
      </c>
      <c r="E68" s="8" t="inlineStr">
        <is>
          <t>correct</t>
        </is>
      </c>
      <c r="F68" s="8" t="inlineStr"/>
      <c r="G68" s="8" t="inlineStr"/>
    </row>
    <row r="69">
      <c r="A69" s="8" t="inlineStr">
        <is>
          <t>P7-11</t>
        </is>
      </c>
      <c r="B69" s="8" t="inlineStr">
        <is>
          <t>Part1/llm/output_7_areaC_patterns.md</t>
        </is>
      </c>
      <c r="C69" s="8" t="inlineStr">
        <is>
          <t>Null Object: EngineExecutionListener.NOOP / LauncherSessionListener.NOOP</t>
        </is>
      </c>
      <c r="D69" s="8" t="inlineStr">
        <is>
          <t>PE/EngineExecutionListener.java:39; PL/LauncherSessionListener.java:48; PL/listeners/session/LauncherSessionListeners.java:37</t>
        </is>
      </c>
      <c r="E69" s="8" t="inlineStr">
        <is>
          <t>correct</t>
        </is>
      </c>
      <c r="F69" s="8" t="inlineStr"/>
      <c r="G69" s="8" t="inlineStr"/>
    </row>
    <row r="70">
      <c r="A70" s="8" t="inlineStr">
        <is>
          <t>P7-12</t>
        </is>
      </c>
      <c r="B70" s="8" t="inlineStr">
        <is>
          <t>Part1/llm/output_7_areaC_patterns.md</t>
        </is>
      </c>
      <c r="C70" s="8" t="inlineStr">
        <is>
          <t>Look-alikes: ListenerRegistry not Registry; MutableTestExecutionSummary not Builder; ReportEntry not Builder; LoggingListener factories not Factory Method; UniqueIdTrackingListener not State</t>
        </is>
      </c>
      <c r="D70" s="8" t="inlineStr">
        <is>
          <t>PL/core/ListenerRegistry.java:27 51; PL/listeners/LoggingListener.java:88; PE/reporting/ReportEntry.java:34</t>
        </is>
      </c>
      <c r="E70" s="8" t="inlineStr">
        <is>
          <t>correct</t>
        </is>
      </c>
      <c r="F70" s="8" t="inlineStr"/>
      <c r="G70" s="8" t="inlineStr"/>
    </row>
    <row r="71">
      <c r="A71" s="8" t="inlineStr">
        <is>
          <t>P8-01</t>
        </is>
      </c>
      <c r="B71" s="8" t="inlineStr">
        <is>
          <t>Part1/llm/output_8_areaD_flow.md</t>
        </is>
      </c>
      <c r="C71" s="8" t="inlineStr">
        <is>
          <t>All 21 cited line numbers contain the quoted code</t>
        </is>
      </c>
      <c r="D71" s="8" t="inlineStr">
        <is>
          <t>Part1/evidence/claims_8_areaD_flow.txt (run check_lines.py)</t>
        </is>
      </c>
      <c r="E71" s="8" t="inlineStr">
        <is>
          <t>correct</t>
        </is>
      </c>
      <c r="F71" s="8" t="inlineStr">
        <is>
          <t>21/21 (computeIfAbsent is on line 226 inside the cited range 225-229)</t>
        </is>
      </c>
      <c r="G71" s="8" t="inlineStr"/>
    </row>
    <row r="72">
      <c r="A72" s="8" t="inlineStr">
        <is>
          <t>P8-02</t>
        </is>
      </c>
      <c r="B72" s="8" t="inlineStr">
        <is>
          <t>Part1/llm/output_8_areaD_flow.md</t>
        </is>
      </c>
      <c r="C72" s="8" t="inlineStr">
        <is>
          <t>Root registry registers built-ins incl. TempDirectory so @TempDir needs no @ExtendWith</t>
        </is>
      </c>
      <c r="D72" s="8" t="inlineStr">
        <is>
          <t>JE/extension/MutableExtensionRegistry.java:54-60 81-97</t>
        </is>
      </c>
      <c r="E72" s="8" t="inlineStr">
        <is>
          <t>correct</t>
        </is>
      </c>
      <c r="F72" s="8" t="inlineStr"/>
      <c r="G72" s="8" t="inlineStr"/>
    </row>
    <row r="73">
      <c r="A73" s="8" t="inlineStr">
        <is>
          <t>P8-03</t>
        </is>
      </c>
      <c r="B73" s="8" t="inlineStr">
        <is>
          <t>Part1/llm/output_8_areaD_flow.md</t>
        </is>
      </c>
      <c r="C73" s="8" t="inlineStr">
        <is>
          <t>registerExtension only instantiates a type if not already registered</t>
        </is>
      </c>
      <c r="D73" s="8" t="inlineStr">
        <is>
          <t>JE/extension/MutableExtensionRegistry.java:188-192</t>
        </is>
      </c>
      <c r="E73" s="8" t="inlineStr">
        <is>
          <t>correct</t>
        </is>
      </c>
      <c r="F73" s="8" t="inlineStr"/>
      <c r="G73" s="8" t="inlineStr"/>
    </row>
    <row r="74">
      <c r="A74" s="8" t="inlineStr">
        <is>
          <t>P8-04</t>
        </is>
      </c>
      <c r="B74" s="8" t="inlineStr">
        <is>
          <t>Part1/llm/output_8_areaD_flow.md</t>
        </is>
      </c>
      <c r="C74" s="8" t="inlineStr">
        <is>
          <t>Exactly one ParameterResolver must support a parameter (errors: none / competing)</t>
        </is>
      </c>
      <c r="D74" s="8" t="inlineStr">
        <is>
          <t>JE/execution/ParameterResolutionUtils.java:139 150</t>
        </is>
      </c>
      <c r="E74" s="8" t="inlineStr">
        <is>
          <t>correct</t>
        </is>
      </c>
      <c r="F74" s="8" t="inlineStr"/>
      <c r="G74" s="8" t="inlineStr"/>
    </row>
    <row r="75">
      <c r="A75" s="8" t="inlineStr">
        <is>
          <t>P8-05</t>
        </is>
      </c>
      <c r="B75" s="8" t="inlineStr">
        <is>
          <t>Part1/llm/output_8_areaD_flow.md</t>
        </is>
      </c>
      <c r="C75" s="8" t="inlineStr">
        <is>
          <t>TempDirectory stores a CloseablePath in the method store via computeIfAbsent</t>
        </is>
      </c>
      <c r="D75" s="8" t="inlineStr">
        <is>
          <t>JE/extension/TempDirectory.java:225-229</t>
        </is>
      </c>
      <c r="E75" s="8" t="inlineStr">
        <is>
          <t>correct</t>
        </is>
      </c>
      <c r="F75" s="8" t="inlineStr"/>
      <c r="G75" s="8" t="inlineStr"/>
    </row>
    <row r="76">
      <c r="A76" s="8" t="inlineStr">
        <is>
          <t>P8-06</t>
        </is>
      </c>
      <c r="B76" s="8" t="inlineStr">
        <is>
          <t>Part1/llm/output_8_areaD_flow.md</t>
        </is>
      </c>
      <c r="C76" s="8" t="inlineStr">
        <is>
          <t>cleanUp: PreDestroy callbacks (per-method lifecycle) then context close; store closes values in reverse order; AutoCloseables closed by default</t>
        </is>
      </c>
      <c r="D76" s="8" t="inlineStr">
        <is>
          <t>JE/descriptor/TestMethodTestDescriptor.java:170-176; JE/descriptor/AbstractExtensionContext.java:104-127; PE/support/store/NamespacedHierarchicalStore.java:135-152</t>
        </is>
      </c>
      <c r="E76" s="8" t="inlineStr">
        <is>
          <t>correct</t>
        </is>
      </c>
      <c r="F76" s="8" t="inlineStr"/>
      <c r="G76" s="8" t="inlineStr"/>
    </row>
    <row r="77">
      <c r="A77" s="8" t="inlineStr">
        <is>
          <t>P8-07</t>
        </is>
      </c>
      <c r="B77" s="8" t="inlineStr">
        <is>
          <t>Part1/llm/output_8_areaD_flow.md</t>
        </is>
      </c>
      <c r="C77" s="8" t="inlineStr">
        <is>
          <t>Temp dir is not deleted when mode is NEVER or ON_SUCCESS and the test failed</t>
        </is>
      </c>
      <c r="D77" s="8" t="inlineStr">
        <is>
          <t>JE/extension/TempDirectory.java:339-341</t>
        </is>
      </c>
      <c r="E77" s="8" t="inlineStr">
        <is>
          <t>correct</t>
        </is>
      </c>
      <c r="F77" s="8" t="inlineStr"/>
      <c r="G77" s="8" t="inlineStr"/>
    </row>
    <row r="78">
      <c r="A78" s="8" t="inlineStr">
        <is>
          <t>P8-08</t>
        </is>
      </c>
      <c r="B78" s="8" t="inlineStr">
        <is>
          <t>Part1/llm/output_8_areaD_flow.md</t>
        </is>
      </c>
      <c r="C78" s="8" t="inlineStr">
        <is>
          <t>TestWatchers run after cleanUp so the temp dir is already gone</t>
        </is>
      </c>
      <c r="D78" s="8" t="inlineStr">
        <is>
          <t>PE/support/hierarchical/NodeTestTask.java:119-121; JE/descriptor/TestMethodTestDescriptor.java:278-291</t>
        </is>
      </c>
      <c r="E78" s="8" t="inlineStr">
        <is>
          <t>correct</t>
        </is>
      </c>
      <c r="F78" s="8" t="inlineStr"/>
      <c r="G78" s="8" t="inlineStr"/>
    </row>
    <row r="79">
      <c r="A79" s="8" t="inlineStr">
        <is>
          <t>P9-01</t>
        </is>
      </c>
      <c r="B79" s="8" t="inlineStr">
        <is>
          <t>Part1/llm/output_9_areaD_patterns.md</t>
        </is>
      </c>
      <c r="C79" s="8" t="inlineStr">
        <is>
          <t>All 100 cited line numbers contain the quoted code</t>
        </is>
      </c>
      <c r="D79" s="8" t="inlineStr">
        <is>
          <t>Part1/evidence/claims_9_areaD.txt (run check_lines.py)</t>
        </is>
      </c>
      <c r="E79" s="8" t="inlineStr">
        <is>
          <t>correct</t>
        </is>
      </c>
      <c r="F79" s="8" t="inlineStr">
        <is>
          <t>100/100 exact</t>
        </is>
      </c>
      <c r="G79" s="8" t="inlineStr">
        <is>
          <t>Gautham Mohanraj</t>
        </is>
      </c>
    </row>
    <row r="80">
      <c r="A80" s="8" t="inlineStr">
        <is>
          <t>P9-02</t>
        </is>
      </c>
      <c r="B80" s="8" t="inlineStr">
        <is>
          <t>Part1/llm/output_9_areaD_patterns.md</t>
        </is>
      </c>
      <c r="C80" s="8" t="inlineStr">
        <is>
          <t>Strategy: TempDirFactory chosen from @TempDir(factory) or configuration</t>
        </is>
      </c>
      <c r="D80" s="8" t="inlineStr">
        <is>
          <t>JA/io/TempDirFactory.java:49-95; JE/extension/TempDirectory.java:194-199</t>
        </is>
      </c>
      <c r="E80" s="8" t="inlineStr">
        <is>
          <t>correct</t>
        </is>
      </c>
      <c r="F80" s="8" t="inlineStr"/>
      <c r="G80" s="8" t="inlineStr"/>
    </row>
    <row r="81">
      <c r="A81" s="8" t="inlineStr">
        <is>
          <t>P9-03</t>
        </is>
      </c>
      <c r="B81" s="8" t="inlineStr">
        <is>
          <t>Part1/llm/output_9_areaD_patterns.md</t>
        </is>
      </c>
      <c r="C81" s="8" t="inlineStr">
        <is>
          <t>Strategy: TempDirDeletionStrategy (IgnoreFailures / Standard)</t>
        </is>
      </c>
      <c r="D81" s="8" t="inlineStr">
        <is>
          <t>JA/io/TempDirDeletionStrategy.java:71-165; JE/extension/TempDirectory.java:187 349</t>
        </is>
      </c>
      <c r="E81" s="8" t="inlineStr">
        <is>
          <t>correct</t>
        </is>
      </c>
      <c r="F81" s="8" t="inlineStr"/>
      <c r="G81" s="8" t="inlineStr"/>
    </row>
    <row r="82">
      <c r="A82" s="8" t="inlineStr">
        <is>
          <t>P9-04</t>
        </is>
      </c>
      <c r="B82" s="8" t="inlineStr">
        <is>
          <t>Part1/llm/output_9_areaD_patterns.md</t>
        </is>
      </c>
      <c r="C82" s="8" t="inlineStr">
        <is>
          <t>Strategy: exactly one ParameterResolver chosen by supportsParameter</t>
        </is>
      </c>
      <c r="D82" s="8" t="inlineStr">
        <is>
          <t>JE/execution/ParameterResolutionUtils.java:132-155</t>
        </is>
      </c>
      <c r="E82" s="8" t="inlineStr">
        <is>
          <t>correct</t>
        </is>
      </c>
      <c r="F82" s="8" t="inlineStr"/>
      <c r="G82" s="8" t="inlineStr"/>
    </row>
    <row r="83">
      <c r="A83" s="8" t="inlineStr">
        <is>
          <t>P9-05</t>
        </is>
      </c>
      <c r="B83" s="8" t="inlineStr">
        <is>
          <t>Part1/llm/output_9_areaD_patterns.md</t>
        </is>
      </c>
      <c r="C83" s="8" t="inlineStr">
        <is>
          <t>Strategy: ExecutionConditions combined by ConditionEvaluator (first disabled wins)</t>
        </is>
      </c>
      <c r="D83" s="8" t="inlineStr">
        <is>
          <t>JE/execution/ConditionEvaluator.java:52-57</t>
        </is>
      </c>
      <c r="E83" s="8" t="inlineStr">
        <is>
          <t>correct</t>
        </is>
      </c>
      <c r="F83" s="8" t="inlineStr"/>
      <c r="G83" s="8" t="inlineStr"/>
    </row>
    <row r="84">
      <c r="A84" s="8" t="inlineStr">
        <is>
          <t>P9-06</t>
        </is>
      </c>
      <c r="B84" s="8" t="inlineStr">
        <is>
          <t>Part1/llm/output_9_areaD_patterns.md</t>
        </is>
      </c>
      <c r="C84" s="8" t="inlineStr">
        <is>
          <t>Strategy: CloseAction injected into NamespacedHierarchicalStore by AbstractExtensionContext</t>
        </is>
      </c>
      <c r="D84" s="8" t="inlineStr">
        <is>
          <t>PS/NamespacedHierarchicalStore.java:84 734; JE/descriptor/AbstractExtensionContext.java:92-120</t>
        </is>
      </c>
      <c r="E84" s="8" t="inlineStr">
        <is>
          <t>correct</t>
        </is>
      </c>
      <c r="F84" s="8" t="inlineStr">
        <is>
          <t>small</t>
        </is>
      </c>
      <c r="G84" s="8" t="inlineStr"/>
    </row>
    <row r="85">
      <c r="A85" s="8" t="inlineStr">
        <is>
          <t>P9-07</t>
        </is>
      </c>
      <c r="B85" s="8" t="inlineStr">
        <is>
          <t>Part1/llm/output_9_areaD_patterns.md</t>
        </is>
      </c>
      <c r="C85" s="8" t="inlineStr">
        <is>
          <t>Adapter: NamespaceAwareStore adapts platform store to Jupiter Store (fixes namespace; translates exception)</t>
        </is>
      </c>
      <c r="D85" s="8" t="inlineStr">
        <is>
          <t>JE/execution/NamespaceAwareStore.java:31-123; JE/execution/LauncherStoreFacade.java:46-52</t>
        </is>
      </c>
      <c r="E85" s="8" t="inlineStr">
        <is>
          <t>correct</t>
        </is>
      </c>
      <c r="F85" s="8" t="inlineStr"/>
      <c r="G85" s="8" t="inlineStr"/>
    </row>
    <row r="86">
      <c r="A86" s="8" t="inlineStr">
        <is>
          <t>P9-08</t>
        </is>
      </c>
      <c r="B86" s="8" t="inlineStr">
        <is>
          <t>Part1/llm/output_9_areaD_patterns.md</t>
        </is>
      </c>
      <c r="C86" s="8" t="inlineStr">
        <is>
          <t>Adapter: @BeforeEach/@AfterEach methods wrapped as BeforeEachMethodAdapter/AfterEachMethodAdapter extensions</t>
        </is>
      </c>
      <c r="D86" s="8" t="inlineStr">
        <is>
          <t>JE/execution/BeforeEachMethodAdapter.java:29-31; JE/descriptor/ClassBasedTestDescriptor.java:529-535; JE/descriptor/TestMethodTestDescriptor.java:187-191</t>
        </is>
      </c>
      <c r="E86" s="8" t="inlineStr">
        <is>
          <t>correct</t>
        </is>
      </c>
      <c r="F86" s="8" t="inlineStr"/>
      <c r="G86" s="8" t="inlineStr"/>
    </row>
    <row r="87">
      <c r="A87" s="8" t="inlineStr">
        <is>
          <t>P9-09</t>
        </is>
      </c>
      <c r="B87" s="8" t="inlineStr">
        <is>
          <t>Part1/llm/output_9_areaD_patterns.md</t>
        </is>
      </c>
      <c r="C87" s="8" t="inlineStr">
        <is>
          <t>Observer: TestWatcher notified of outcomes; its exceptions only logged</t>
        </is>
      </c>
      <c r="D87" s="8" t="inlineStr">
        <is>
          <t>JE/descriptor/MethodBasedTestDescriptor.java:169-187; JE/descriptor/TestMethodTestDescriptor.java:284-288</t>
        </is>
      </c>
      <c r="E87" s="8" t="inlineStr">
        <is>
          <t>correct</t>
        </is>
      </c>
      <c r="F87" s="8" t="inlineStr"/>
      <c r="G87" s="8" t="inlineStr"/>
    </row>
    <row r="88">
      <c r="A88" s="8" t="inlineStr">
        <is>
          <t>P9-10</t>
        </is>
      </c>
      <c r="B88" s="8" t="inlineStr">
        <is>
          <t>Part1/llm/output_9_areaD_patterns.md</t>
        </is>
      </c>
      <c r="C88" s="8" t="inlineStr">
        <is>
          <t>Lifecycle callbacks are hooks rather than observers (a throwing BeforeEachCallback stops the rest)</t>
        </is>
      </c>
      <c r="D88" s="8" t="inlineStr">
        <is>
          <t>JE/descriptor/CallbackSupport.java:33-36</t>
        </is>
      </c>
      <c r="E88" s="8" t="inlineStr">
        <is>
          <t>correct</t>
        </is>
      </c>
      <c r="F88" s="8" t="inlineStr">
        <is>
          <t>recorded as UNCERTAIN Observer</t>
        </is>
      </c>
      <c r="G88" s="8" t="inlineStr"/>
    </row>
    <row r="89">
      <c r="A89" s="8" t="inlineStr">
        <is>
          <t>P9-11</t>
        </is>
      </c>
      <c r="B89" s="8" t="inlineStr">
        <is>
          <t>Part1/llm/output_9_areaD_patterns.md</t>
        </is>
      </c>
      <c r="C89" s="8" t="inlineStr">
        <is>
          <t>Template Method rejected; one-step getExecutionMode/getPlatformExecutionMode not counted</t>
        </is>
      </c>
      <c r="D89" s="8" t="inlineStr">
        <is>
          <t>JE/descriptor/CallbackSupport.java:24-49; JE/descriptor/AbstractExtensionContext.java:250-264</t>
        </is>
      </c>
      <c r="E89" s="8" t="inlineStr">
        <is>
          <t>correct</t>
        </is>
      </c>
      <c r="F89" s="8" t="inlineStr"/>
      <c r="G89" s="8" t="inlineStr"/>
    </row>
    <row r="90">
      <c r="A90" s="8" t="inlineStr">
        <is>
          <t>P9-12</t>
        </is>
      </c>
      <c r="B90" s="8" t="inlineStr">
        <is>
          <t>Part1/llm/output_9_areaD_patterns.md</t>
        </is>
      </c>
      <c r="C90" s="8" t="inlineStr">
        <is>
          <t>Composite rejected: context/store/registry only have parent links</t>
        </is>
      </c>
      <c r="D90" s="8" t="inlineStr">
        <is>
          <t>JA/extension/ExtensionContext.java:63; PS/NamespacedHierarchicalStore.java:62</t>
        </is>
      </c>
      <c r="E90" s="8" t="inlineStr">
        <is>
          <t>correct</t>
        </is>
      </c>
      <c r="F90" s="8" t="inlineStr"/>
      <c r="G90" s="8" t="inlineStr"/>
    </row>
    <row r="91">
      <c r="A91" s="8" t="inlineStr">
        <is>
          <t>P9-13</t>
        </is>
      </c>
      <c r="B91" s="8" t="inlineStr">
        <is>
          <t>Part1/llm/output_9_areaD_patterns.md</t>
        </is>
      </c>
      <c r="C91" s="8" t="inlineStr">
        <is>
          <t>Chain of Responsibility: InvocationInterceptorChain built back to front; handler can proceed/skip</t>
        </is>
      </c>
      <c r="D91" s="8" t="inlineStr">
        <is>
          <t>JE/execution/InvocationInterceptorChain.java:52-99; JA/extension/InvocationInterceptor.java:231-248</t>
        </is>
      </c>
      <c r="E91" s="8" t="inlineStr">
        <is>
          <t>correct</t>
        </is>
      </c>
      <c r="F91" s="8" t="inlineStr">
        <is>
          <t>interceptor-chain variant (every handler normally forwards)</t>
        </is>
      </c>
      <c r="G91" s="8" t="inlineStr"/>
    </row>
    <row r="92">
      <c r="A92" s="8" t="inlineStr">
        <is>
          <t>P9-14</t>
        </is>
      </c>
      <c r="B92" s="8" t="inlineStr">
        <is>
          <t>Part1/llm/output_9_areaD_patterns.md</t>
        </is>
      </c>
      <c r="C92" s="8" t="inlineStr">
        <is>
          <t>Decorator: timeout invocations wrap Invocation and call delegate.proceed(); method named decorate</t>
        </is>
      </c>
      <c r="D92" s="8" t="inlineStr">
        <is>
          <t>JE/extension/TimeoutExtension.java:163-187; JE/extension/SameThreadTimeoutInvocation.java:26-51; JE/extension/SeparateThreadTimeoutInvocation.java:42</t>
        </is>
      </c>
      <c r="E92" s="8" t="inlineStr">
        <is>
          <t>correct</t>
        </is>
      </c>
      <c r="F92" s="8" t="inlineStr"/>
      <c r="G92" s="8" t="inlineStr"/>
    </row>
    <row r="93">
      <c r="A93" s="8" t="inlineStr">
        <is>
          <t>P9-15</t>
        </is>
      </c>
      <c r="B93" s="8" t="inlineStr">
        <is>
          <t>Part1/llm/output_9_areaD_patterns.md</t>
        </is>
      </c>
      <c r="C93" s="8" t="inlineStr">
        <is>
          <t>Command: MethodInvocation packages a resolved reflective call</t>
        </is>
      </c>
      <c r="D93" s="8" t="inlineStr">
        <is>
          <t>JE/execution/InterceptingExecutableInvoker.java:97; JE/execution/MethodInvocation.java:59-61</t>
        </is>
      </c>
      <c r="E93" s="8" t="inlineStr">
        <is>
          <t>correct</t>
        </is>
      </c>
      <c r="F93" s="8" t="inlineStr">
        <is>
          <t>small; different classes from B9</t>
        </is>
      </c>
      <c r="G93" s="8" t="inlineStr"/>
    </row>
    <row r="94">
      <c r="A94" s="8" t="inlineStr">
        <is>
          <t>P9-16</t>
        </is>
      </c>
      <c r="B94" s="8" t="inlineStr">
        <is>
          <t>Part1/llm/output_9_areaD_patterns.md</t>
        </is>
      </c>
      <c r="C94" s="8" t="inlineStr">
        <is>
          <t>Store parent lookup is CoR-shaped</t>
        </is>
      </c>
      <c r="D94" s="8" t="inlineStr">
        <is>
          <t>PS/NamespacedHierarchicalStore.java:465-471</t>
        </is>
      </c>
      <c r="E94" s="8" t="inlineStr">
        <is>
          <t>correct</t>
        </is>
      </c>
      <c r="F94" s="8" t="inlineStr">
        <is>
          <t>recorded as UNCERTAIN Chain of Responsibility (scoped lookup)</t>
        </is>
      </c>
      <c r="G94" s="8" t="inlineStr"/>
    </row>
    <row r="95">
      <c r="A95" s="8" t="inlineStr">
        <is>
          <t>P10-01</t>
        </is>
      </c>
      <c r="B95" s="8" t="inlineStr">
        <is>
          <t>Part1/llm/output_10_uml.md</t>
        </is>
      </c>
      <c r="C95" s="8" t="inlineStr">
        <is>
          <t>Prompt sent without the tables (placeholder only); model used its own ids</t>
        </is>
      </c>
      <c r="D95" s="8" t="inlineStr">
        <is>
          <t>Part1/llm/prompt_10_uml.txt</t>
        </is>
      </c>
      <c r="E95" s="8" t="inlineStr">
        <is>
          <t>cannot confirm</t>
        </is>
      </c>
      <c r="F95" s="8" t="inlineStr">
        <is>
          <t>my mistake in the prompt; ids mapped to ours in Part1/uml/README.md (model B9 and C5 dropped; B10/B11/C6/C7/C8 renumbered)</t>
        </is>
      </c>
      <c r="G95" s="8" t="inlineStr"/>
    </row>
    <row r="96">
      <c r="A96" s="8" t="inlineStr">
        <is>
          <t>P10-02</t>
        </is>
      </c>
      <c r="B96" s="8" t="inlineStr">
        <is>
          <t>Part1/llm/output_10_uml.md</t>
        </is>
      </c>
      <c r="C96" s="8" t="inlineStr">
        <is>
          <t>All implements/extends arrows match the real declarations</t>
        </is>
      </c>
      <c r="D96" s="8" t="inlineStr">
        <is>
          <t>Part1/uml/arrow_check.txt (split_and_check.py)</t>
        </is>
      </c>
      <c r="E96" s="8" t="inlineStr">
        <is>
          <t>correct</t>
        </is>
      </c>
      <c r="F96" s="8" t="inlineStr">
        <is>
          <t>98/98 checkable arrows OK; lambda/JDK arrows not checkable</t>
        </is>
      </c>
      <c r="G96" s="8" t="inlineStr"/>
    </row>
    <row r="97">
      <c r="A97" s="8" t="inlineStr">
        <is>
          <t>P10-03</t>
        </is>
      </c>
      <c r="B97" s="8" t="inlineStr">
        <is>
          <t>Part1/llm/output_10_uml.md</t>
        </is>
      </c>
      <c r="C97" s="8" t="inlineStr">
        <is>
          <t>A2: EngineFilter is a Leaf combined by CompositeFilter</t>
        </is>
      </c>
      <c r="D97" s="8" t="inlineStr">
        <is>
          <t>data/code/junit-platform-launcher/src/main/java/org/junit/platform/launcher/core/EngineFilterer.java (no composeFilters/CompositeFilter)</t>
        </is>
      </c>
      <c r="E97" s="8" t="inlineStr">
        <is>
          <t>incorrect</t>
        </is>
      </c>
      <c r="F97" s="8" t="inlineStr">
        <is>
          <t>EngineFilter implements Filter but EngineFilterer applies engine filters separately; removed from Part1/uml/A2 diagram with a note</t>
        </is>
      </c>
      <c r="G97" s="8" t="inlineStr"/>
    </row>
    <row r="98">
      <c r="A98" s="8" t="inlineStr">
        <is>
          <t>P10-04</t>
        </is>
      </c>
      <c r="B98" s="8" t="inlineStr">
        <is>
          <t>Part1/llm/output_10_uml.md</t>
        </is>
      </c>
      <c r="C98" s="8" t="inlineStr">
        <is>
          <t>All 37 blocks render without error</t>
        </is>
      </c>
      <c r="D98" s="8" t="inlineStr">
        <is>
          <t>Part1/uml/png/*.png</t>
        </is>
      </c>
      <c r="E98" s="8" t="inlineStr">
        <is>
          <t>correct</t>
        </is>
      </c>
      <c r="F98" s="8" t="inlineStr">
        <is>
          <t>35 kept diagrams rendered with PlantUML 1.2025.4</t>
        </is>
      </c>
      <c r="G98" s="8" t="inlineStr"/>
    </row>
    <row r="99">
      <c r="A99" s="8" t="inlineStr">
        <is>
          <t>P11-01</t>
        </is>
      </c>
      <c r="B99" s="8" t="inlineStr">
        <is>
          <t>Part1/llm/output_11_architecture.md</t>
        </is>
      </c>
      <c r="C99" s="8" t="inlineStr">
        <is>
          <t>Arrow 2: LauncherDiscoveryRequestBuilder calls launcher.execute(request)</t>
        </is>
      </c>
      <c r="D99" s="8" t="inlineStr">
        <is>
          <t>PL/core/LauncherDiscoveryRequestBuilder.java (no Launcher call)</t>
        </is>
      </c>
      <c r="E99" s="8" t="inlineStr">
        <is>
          <t>partially correct</t>
        </is>
      </c>
      <c r="F99" s="8" t="inlineStr">
        <is>
          <t>the builder only builds the request; the client calls launcher.execute(builder.build()) - corrected in Part1/architecture/architecture.puml</t>
        </is>
      </c>
      <c r="G99" s="8" t="inlineStr"/>
    </row>
    <row r="100">
      <c r="A100" s="8" t="inlineStr">
        <is>
          <t>P11-02</t>
        </is>
      </c>
      <c r="B100" s="8" t="inlineStr">
        <is>
          <t>Part1/llm/output_11_architecture.md</t>
        </is>
      </c>
      <c r="C100" s="8" t="inlineStr">
        <is>
          <t>Arrow 8: EngineDiscoveryOrchestrator creates the TestPlan via InternalTestPlan.from</t>
        </is>
      </c>
      <c r="D100" s="8" t="inlineStr">
        <is>
          <t>PL/core/DefaultLauncher.java:89 124</t>
        </is>
      </c>
      <c r="E100" s="8" t="inlineStr">
        <is>
          <t>partially correct</t>
        </is>
      </c>
      <c r="F100" s="8" t="inlineStr">
        <is>
          <t>DefaultLauncher calls InternalTestPlan.from on the orchestrator's result - corrected</t>
        </is>
      </c>
      <c r="G100" s="8" t="inlineStr"/>
    </row>
    <row r="101">
      <c r="A101" s="8" t="inlineStr">
        <is>
          <t>P11-03</t>
        </is>
      </c>
      <c r="B101" s="8" t="inlineStr">
        <is>
          <t>Part1/llm/output_11_architecture.md</t>
        </is>
      </c>
      <c r="C101" s="8" t="inlineStr">
        <is>
          <t>Arrows 3 and 9: DefaultLauncher calls discovery and execution orchestrators</t>
        </is>
      </c>
      <c r="D101" s="8" t="inlineStr">
        <is>
          <t>PL/core/DefaultLauncher.java:131 137</t>
        </is>
      </c>
      <c r="E101" s="8" t="inlineStr">
        <is>
          <t>correct</t>
        </is>
      </c>
      <c r="F101" s="8" t="inlineStr"/>
      <c r="G101" s="8" t="inlineStr"/>
    </row>
    <row r="102">
      <c r="A102" s="8" t="inlineStr">
        <is>
          <t>P11-04</t>
        </is>
      </c>
      <c r="B102" s="8" t="inlineStr">
        <is>
          <t>Part1/llm/output_11_architecture.md</t>
        </is>
      </c>
      <c r="C102" s="8" t="inlineStr">
        <is>
          <t>Arrow 10/11: ExecutionRequest.create then testEngine.execute</t>
        </is>
      </c>
      <c r="D102" s="8" t="inlineStr">
        <is>
          <t>PL/core/EngineExecutionOrchestrator.java:256</t>
        </is>
      </c>
      <c r="E102" s="8" t="inlineStr">
        <is>
          <t>correct</t>
        </is>
      </c>
      <c r="F102" s="8" t="inlineStr"/>
      <c r="G102" s="8" t="inlineStr"/>
    </row>
    <row r="103">
      <c r="A103" s="8" t="inlineStr">
        <is>
          <t>P11-05</t>
        </is>
      </c>
      <c r="B103" s="8" t="inlineStr">
        <is>
          <t>Part1/llm/output_11_architecture.md</t>
        </is>
      </c>
      <c r="C103" s="8" t="inlineStr">
        <is>
          <t>Events path 17-18 skips the listener wrappers</t>
        </is>
      </c>
      <c r="D103" s="8" t="inlineStr">
        <is>
          <t>PL/core/EngineExecutionOrchestrator.java:148-149 197-198 253</t>
        </is>
      </c>
      <c r="E103" s="8" t="inlineStr">
        <is>
          <t>partially correct</t>
        </is>
      </c>
      <c r="F103" s="8" t="inlineStr">
        <is>
          <t>model said so itself; added a dashed EngineExecutionListener -&gt; ExecutionListenerAdapter link labelled with the B6 wrappers</t>
        </is>
      </c>
      <c r="G103" s="8" t="inlineStr"/>
    </row>
    <row r="105">
      <c r="A105" s="5" t="inlineStr">
        <is>
          <t>Source: Checks of Part 1 LLM claims</t>
        </is>
      </c>
    </row>
  </sheetData>
  <autoFilter ref="A1:G10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60" customWidth="1" min="3" max="3"/>
    <col width="60" customWidth="1" min="4" max="4"/>
    <col width="19" customWidth="1" min="5" max="5"/>
    <col width="60" customWidth="1" min="6" max="6"/>
    <col width="18" customWidth="1" min="7" max="7"/>
  </cols>
  <sheetData>
    <row r="1">
      <c r="A1" s="7" t="inlineStr">
        <is>
          <t>claim_id</t>
        </is>
      </c>
      <c r="B1" s="7" t="inlineStr">
        <is>
          <t>llm_output_file</t>
        </is>
      </c>
      <c r="C1" s="7" t="inlineStr">
        <is>
          <t>claim</t>
        </is>
      </c>
      <c r="D1" s="7" t="inlineStr">
        <is>
          <t>file_and_lines</t>
        </is>
      </c>
      <c r="E1" s="7" t="inlineStr">
        <is>
          <t>verdict</t>
        </is>
      </c>
      <c r="F1" s="7" t="inlineStr">
        <is>
          <t>correction</t>
        </is>
      </c>
      <c r="G1" s="7" t="inlineStr">
        <is>
          <t>checked_by</t>
        </is>
      </c>
    </row>
    <row r="2">
      <c r="A2" s="8" t="inlineStr">
        <is>
          <t>D1-01</t>
        </is>
      </c>
      <c r="B2" s="8" t="inlineStr">
        <is>
          <t>Part2/llm/output_1_design.md</t>
        </is>
      </c>
      <c r="C2" s="8" t="inlineStr">
        <is>
          <t>All single-line references in the answer point at the named code</t>
        </is>
      </c>
      <c r="D2" s="8" t="inlineStr">
        <is>
          <t>Part2/evidence/claims_p2_1_design.txt (run Part1/evidence/check_lines.py)</t>
        </is>
      </c>
      <c r="E2" s="8" t="inlineStr">
        <is>
          <t>partially correct</t>
        </is>
      </c>
      <c r="F2" s="8" t="inlineStr">
        <is>
          <t>111 of 112 exact; launcherDiscoveryStarted is at EngineDiscoveryOrchestrator.java:116, not 115</t>
        </is>
      </c>
      <c r="G2" s="8" t="inlineStr"/>
    </row>
    <row r="3">
      <c r="A3" s="8" t="inlineStr">
        <is>
          <t>D1-02</t>
        </is>
      </c>
      <c r="B3" s="8" t="inlineStr">
        <is>
          <t>Part2/llm/output_1_design.md</t>
        </is>
      </c>
      <c r="C3" s="8" t="inlineStr">
        <is>
          <t>Line ranges discoverEngineRoot 189-216 and exclusion logging 246-262</t>
        </is>
      </c>
      <c r="D3" s="8" t="inlineStr">
        <is>
          <t>EngineDiscoveryOrchestrator.java:189-214; 246-256</t>
        </is>
      </c>
      <c r="E3" s="8" t="inlineStr">
        <is>
          <t>partially correct</t>
        </is>
      </c>
      <c r="F3" s="8" t="inlineStr">
        <is>
          <t>start lines right, end lines wrong: discoverEngineRoot ends at 214, logTestDescriptorExclusionReasons ends at 256</t>
        </is>
      </c>
      <c r="G3" s="8" t="inlineStr"/>
    </row>
    <row r="4">
      <c r="A4" s="8" t="inlineStr">
        <is>
          <t>D1-03</t>
        </is>
      </c>
      <c r="B4" s="8" t="inlineStr">
        <is>
          <t>Part2/llm/output_1_design.md</t>
        </is>
      </c>
      <c r="C4" s="8" t="inlineStr">
        <is>
          <t>SummaryGeneratingListener is not auto-registered; only UniqueIdTrackingListener is in META-INF/services</t>
        </is>
      </c>
      <c r="D4" s="8" t="inlineStr">
        <is>
          <t>junit-platform-launcher/src/main/resources/META-INF/services/org.junit.platform.launcher.TestExecutionListener; module-info.java:46-47</t>
        </is>
      </c>
      <c r="E4" s="8" t="inlineStr">
        <is>
          <t>correct</t>
        </is>
      </c>
      <c r="F4" s="8" t="inlineStr"/>
      <c r="G4" s="8" t="inlineStr"/>
    </row>
    <row r="5">
      <c r="A5" s="8" t="inlineStr">
        <is>
          <t>D1-04</t>
        </is>
      </c>
      <c r="B5" s="8" t="inlineStr">
        <is>
          <t>Part2/llm/output_1_design.md</t>
        </is>
      </c>
      <c r="C5" s="8" t="inlineStr">
        <is>
          <t>A listener that throws is logged and skipped; unrecoverable errors are rethrown</t>
        </is>
      </c>
      <c r="D5" s="8" t="inlineStr">
        <is>
          <t>CompositeTestExecutionListener.java:104-116 (rethrowIfUnrecoverable at 111)</t>
        </is>
      </c>
      <c r="E5" s="8" t="inlineStr">
        <is>
          <t>correct</t>
        </is>
      </c>
      <c r="F5" s="8" t="inlineStr"/>
      <c r="G5" s="8" t="inlineStr"/>
    </row>
    <row r="6">
      <c r="A6" s="8" t="inlineStr">
        <is>
          <t>D1-05</t>
        </is>
      </c>
      <c r="B6" s="8" t="inlineStr">
        <is>
          <t>Part2/llm/output_1_design.md</t>
        </is>
      </c>
      <c r="C6" s="8" t="inlineStr">
        <is>
          <t>executionFinished and testPlanExecutionFinished run in reverse registration order, started callbacks in original order</t>
        </is>
      </c>
      <c r="D6" s="8" t="inlineStr">
        <is>
          <t>CompositeTestExecutionListener.java:71 (REVERSED); 78 (ORIGINAL); 85 (REVERSED)</t>
        </is>
      </c>
      <c r="E6" s="8" t="inlineStr">
        <is>
          <t>correct</t>
        </is>
      </c>
      <c r="F6" s="8" t="inlineStr"/>
      <c r="G6" s="8" t="inlineStr">
        <is>
          <t>Gautham Mohanraj</t>
        </is>
      </c>
    </row>
    <row r="7">
      <c r="A7" s="8" t="inlineStr">
        <is>
          <t>D1-06</t>
        </is>
      </c>
      <c r="B7" s="8" t="inlineStr">
        <is>
          <t>Part2/llm/output_1_design.md</t>
        </is>
      </c>
      <c r="C7" s="8" t="inlineStr">
        <is>
          <t>The container/test counting pair is repeated 5 times and the descendant stream is built twice</t>
        </is>
      </c>
      <c r="D7" s="8" t="inlineStr">
        <is>
          <t>SummaryGeneratingListener.java:73-78; 85-90; 100-105; 115-120; 124-129; 133-138</t>
        </is>
      </c>
      <c r="E7" s="8" t="inlineStr">
        <is>
          <t>correct</t>
        </is>
      </c>
      <c r="F7" s="8" t="inlineStr"/>
      <c r="G7" s="8" t="inlineStr"/>
    </row>
    <row r="8">
      <c r="A8" s="8" t="inlineStr">
        <is>
          <t>D1-07</t>
        </is>
      </c>
      <c r="B8" s="8" t="inlineStr">
        <is>
          <t>Part2/llm/output_1_design.md</t>
        </is>
      </c>
      <c r="C8" s="8" t="inlineStr">
        <is>
          <t>Store closes values in reverse insert order, collects every failure and rethrows the first with the rest suppressed</t>
        </is>
      </c>
      <c r="D8" s="8" t="inlineStr">
        <is>
          <t>NamespacedHierarchicalStore.java:135-160</t>
        </is>
      </c>
      <c r="E8" s="8" t="inlineStr">
        <is>
          <t>correct</t>
        </is>
      </c>
      <c r="F8" s="8" t="inlineStr"/>
      <c r="G8" s="8" t="inlineStr"/>
    </row>
    <row r="9">
      <c r="A9" s="8" t="inlineStr">
        <is>
          <t>D1-08</t>
        </is>
      </c>
      <c r="B9" s="8" t="inlineStr">
        <is>
          <t>Part2/llm/output_1_design.md</t>
        </is>
      </c>
      <c r="C9" s="8" t="inlineStr">
        <is>
          <t>With the auto-close flag false, AutoCloseable values are not closed but Store.CloseableResource values still are</t>
        </is>
      </c>
      <c r="D9" s="8" t="inlineStr">
        <is>
          <t>AbstractExtensionContext.java:103-123</t>
        </is>
      </c>
      <c r="E9" s="8" t="inlineStr">
        <is>
          <t>correct</t>
        </is>
      </c>
      <c r="F9" s="8" t="inlineStr"/>
      <c r="G9" s="8" t="inlineStr"/>
    </row>
    <row r="10">
      <c r="A10" s="8" t="inlineStr">
        <is>
          <t>D1-09</t>
        </is>
      </c>
      <c r="B10" s="8" t="inlineStr">
        <is>
          <t>Part2/llm/output_1_design.md</t>
        </is>
      </c>
      <c r="C10" s="8" t="inlineStr">
        <is>
          <t>A failing close is wrapped in 'Failed to close extension context' and fails the test, because cleanUp runs before reportCompletion</t>
        </is>
      </c>
      <c r="D10" s="8" t="inlineStr">
        <is>
          <t>JupiterEngineExecutionContext.java:47-55; NodeTestTask.java:118-121; TestMethodTestDescriptor.java:170-175</t>
        </is>
      </c>
      <c r="E10" s="8" t="inlineStr">
        <is>
          <t>correct</t>
        </is>
      </c>
      <c r="F10" s="8" t="inlineStr"/>
      <c r="G10" s="8" t="inlineStr">
        <is>
          <t>Gautham Mohanraj</t>
        </is>
      </c>
    </row>
    <row r="11">
      <c r="A11" s="8" t="inlineStr">
        <is>
          <t>D1-10</t>
        </is>
      </c>
      <c r="B11" s="8" t="inlineStr">
        <is>
          <t>Part2/llm/output_1_design.md</t>
        </is>
      </c>
      <c r="C11" s="8" t="inlineStr">
        <is>
          <t>@ExtendWith on a parameter annotation registers the extension, also for @BeforeAll/@AfterAll/@BeforeEach parameters</t>
        </is>
      </c>
      <c r="D11" s="8" t="inlineStr">
        <is>
          <t>ExtensionUtils.java:187; ClassBasedTestDescriptor.java:204 and 213; TestMethodTestDescriptor.java:141</t>
        </is>
      </c>
      <c r="E11" s="8" t="inlineStr">
        <is>
          <t>correct</t>
        </is>
      </c>
      <c r="F11" s="8" t="inlineStr"/>
      <c r="G11" s="8" t="inlineStr"/>
    </row>
    <row r="12">
      <c r="A12" s="8" t="inlineStr">
        <is>
          <t>D1-11</t>
        </is>
      </c>
      <c r="B12" s="8" t="inlineStr">
        <is>
          <t>Part2/llm/output_1_design.md</t>
        </is>
      </c>
      <c r="C12" s="8" t="inlineStr">
        <is>
          <t>Store lookups fall back to the parent store (so a test reuses a class-scoped value)</t>
        </is>
      </c>
      <c r="D12" s="8" t="inlineStr">
        <is>
          <t>NamespacedHierarchicalStore.java:465-471</t>
        </is>
      </c>
      <c r="E12" s="8" t="inlineStr">
        <is>
          <t>correct</t>
        </is>
      </c>
      <c r="F12" s="8" t="inlineStr"/>
      <c r="G12" s="8" t="inlineStr"/>
    </row>
    <row r="13">
      <c r="A13" s="8" t="inlineStr">
        <is>
          <t>D1-12</t>
        </is>
      </c>
      <c r="B13" s="8" t="inlineStr">
        <is>
          <t>Part2/llm/output_1_design.md</t>
        </is>
      </c>
      <c r="C13" s="8" t="inlineStr">
        <is>
          <t>No production PostDiscoveryFilter reads ConfigurationParameters</t>
        </is>
      </c>
      <c r="D13" s="8" t="inlineStr">
        <is>
          <t>grep over junit-*/src/main at f59f60d</t>
        </is>
      </c>
      <c r="E13" s="8" t="inlineStr">
        <is>
          <t>correct</t>
        </is>
      </c>
      <c r="F13" s="8" t="inlineStr">
        <is>
          <t>no class in src/main implements PostDiscoveryFilter and reads configuration; TagFilter/MethodFilter are built in code</t>
        </is>
      </c>
      <c r="G13" s="8" t="inlineStr"/>
    </row>
    <row r="14">
      <c r="A14" s="8" t="inlineStr">
        <is>
          <t>D1-13</t>
        </is>
      </c>
      <c r="B14" s="8" t="inlineStr">
        <is>
          <t>Part2/llm/output_1_design.md</t>
        </is>
      </c>
      <c r="C14" s="8" t="inlineStr">
        <is>
          <t>Only excluded leaves are removed; empty containers are pruned afterwards</t>
        </is>
      </c>
      <c r="D14" s="8" t="inlineStr">
        <is>
          <t>EngineDiscoveryOrchestrator.java:225-238; 265-271</t>
        </is>
      </c>
      <c r="E14" s="8" t="inlineStr">
        <is>
          <t>correct</t>
        </is>
      </c>
      <c r="F14" s="8" t="inlineStr"/>
      <c r="G14" s="8" t="inlineStr"/>
    </row>
    <row r="15">
      <c r="A15" s="8" t="inlineStr">
        <is>
          <t>D1-14</t>
        </is>
      </c>
      <c r="B15" s="8" t="inlineStr">
        <is>
          <t>Part2/llm/output_1_design.md</t>
        </is>
      </c>
      <c r="C15" s="8" t="inlineStr">
        <is>
          <t>An exception thrown while applying post-discovery filters is not caught and aborts discovery</t>
        </is>
      </c>
      <c r="D15" s="8" t="inlineStr">
        <is>
          <t>EngineDiscoveryOrchestrator.java:118-126 (try/finally without catch)</t>
        </is>
      </c>
      <c r="E15" s="8" t="inlineStr">
        <is>
          <t>correct</t>
        </is>
      </c>
      <c r="F15" s="8" t="inlineStr">
        <is>
          <t>launcherDiscoveryFinished still runs (finally), then the exception escapes Launcher.discover</t>
        </is>
      </c>
      <c r="G15" s="8" t="inlineStr">
        <is>
          <t>Gautham Mohanraj</t>
        </is>
      </c>
    </row>
    <row r="16">
      <c r="A16" s="8" t="inlineStr">
        <is>
          <t>D1-15</t>
        </is>
      </c>
      <c r="B16" s="8" t="inlineStr">
        <is>
          <t>Part2/llm/output_1_design.md</t>
        </is>
      </c>
      <c r="C16" s="8" t="inlineStr">
        <is>
          <t>Invalid tag expressions surface as a JUnitException</t>
        </is>
      </c>
      <c r="D16" s="8" t="inlineStr">
        <is>
          <t>TagFilter.java:68; junit-platform-commons PreconditionViolationException.java:26 (extends JUnitException)</t>
        </is>
      </c>
      <c r="E16" s="8" t="inlineStr">
        <is>
          <t>correct</t>
        </is>
      </c>
      <c r="F16" s="8" t="inlineStr"/>
      <c r="G16" s="8" t="inlineStr"/>
    </row>
    <row r="17">
      <c r="A17" s="8" t="inlineStr">
        <is>
          <t>D1-16</t>
        </is>
      </c>
      <c r="B17" s="8" t="inlineStr">
        <is>
          <t>Part2/llm/output_1_design.md</t>
        </is>
      </c>
      <c r="C17" s="8" t="inlineStr">
        <is>
          <t>MethodFilter.includeMethodNamePatterns can be used from launcher.core</t>
        </is>
      </c>
      <c r="D17" s="8" t="inlineStr">
        <is>
          <t>MethodFilter.java:28-29 (public interface) and 46</t>
        </is>
      </c>
      <c r="E17" s="8" t="inlineStr">
        <is>
          <t>correct</t>
        </is>
      </c>
      <c r="F17" s="8" t="inlineStr"/>
      <c r="G17" s="8" t="inlineStr"/>
    </row>
    <row r="18">
      <c r="A18" s="8" t="inlineStr">
        <is>
          <t>D1-17</t>
        </is>
      </c>
      <c r="B18" s="8" t="inlineStr">
        <is>
          <t>Part2/llm/output_1_design.md</t>
        </is>
      </c>
      <c r="C18" s="8" t="inlineStr">
        <is>
          <t>Pattern impact tables use Part 1 pattern instances</t>
        </is>
      </c>
      <c r="D18" s="8" t="inlineStr">
        <is>
          <t>Part1/notes.md (35 instances)</t>
        </is>
      </c>
      <c r="E18" s="8" t="inlineStr">
        <is>
          <t>partially correct</t>
        </is>
      </c>
      <c r="F18" s="8" t="inlineStr">
        <is>
          <t>the model used its own Part 1 numbering; mapped to ours. Two items are not in our list: Filter.toPredicate() as Adapter (never counted) and CompositeTestExecutionListener as Composite (rejected by our Composite rule: it does not merge results)</t>
        </is>
      </c>
      <c r="G18" s="8" t="inlineStr"/>
    </row>
    <row r="19">
      <c r="A19" s="8" t="inlineStr">
        <is>
          <t>D1-18</t>
        </is>
      </c>
      <c r="B19" s="8" t="inlineStr">
        <is>
          <t>Part2/llm/output_1_design.md</t>
        </is>
      </c>
      <c r="C19" s="8" t="inlineStr">
        <is>
          <t>CH03 'newly introduces' an enum Strategy (Mode)</t>
        </is>
      </c>
      <c r="D19" s="8" t="inlineStr">
        <is>
          <t>design sketch in output (FilterPolicy.apply)</t>
        </is>
      </c>
      <c r="E19" s="8" t="inlineStr">
        <is>
          <t>incorrect</t>
        </is>
      </c>
      <c r="F19" s="8" t="inlineStr">
        <is>
          <t>in the sketch Mode is only tested in a ternary inside apply(); no behaviour is selected polymorphically, so it is a flag, not a Strategy. Not counted as a new pattern</t>
        </is>
      </c>
      <c r="G19" s="8" t="inlineStr">
        <is>
          <t>Gautham Mohanraj</t>
        </is>
      </c>
    </row>
    <row r="20">
      <c r="A20" s="8" t="inlineStr">
        <is>
          <t>D1-19</t>
        </is>
      </c>
      <c r="B20" s="8" t="inlineStr">
        <is>
          <t>Part2/llm/output_1_design.md</t>
        </is>
      </c>
      <c r="C20" s="8" t="inlineStr">
        <is>
          <t>CH02 code sketch</t>
        </is>
      </c>
      <c r="D20" s="8" t="inlineStr">
        <is>
          <t>design sketch in output (ManagedResourceExtension)</t>
        </is>
      </c>
      <c r="E20" s="8" t="inlineStr">
        <is>
          <t>partially correct</t>
        </is>
      </c>
      <c r="F20" s="8" t="inlineStr">
        <is>
          <t>design is sound but the sketch does not compile as written: Holder.create(...) is never defined and ResourceFactory&lt;?&gt; needs an unchecked cast. Fix during implementation</t>
        </is>
      </c>
      <c r="G20" s="8" t="inlineStr"/>
    </row>
    <row r="21">
      <c r="A21" s="8" t="inlineStr">
        <is>
          <t>D1-20</t>
        </is>
      </c>
      <c r="B21" s="8" t="inlineStr">
        <is>
          <t>Part2/llm/output_1_design.md</t>
        </is>
      </c>
      <c r="C21" s="8" t="inlineStr">
        <is>
          <t>CH03 refactoring: discoverSafely is a Long Method</t>
        </is>
      </c>
      <c r="D21" s="8" t="inlineStr">
        <is>
          <t>Part2/evidence/metrics_before.txt (discoverSafely@156-187: NLOC 24; CCN 3)</t>
        </is>
      </c>
      <c r="E21" s="8" t="inlineStr">
        <is>
          <t>partially correct</t>
        </is>
      </c>
      <c r="F21" s="8" t="inlineStr">
        <is>
          <t>the extraction is reasonable but discoverSafely is not long by metrics (24 NLOC; CCN 3). Recorded as a preparatory Extract Method (make the change easy; then make the change); not as a Long Method fix</t>
        </is>
      </c>
      <c r="G21" s="8" t="inlineStr"/>
    </row>
    <row r="22">
      <c r="A22" s="8" t="inlineStr">
        <is>
          <t>D1-21</t>
        </is>
      </c>
      <c r="B22" s="8" t="inlineStr">
        <is>
          <t>Part2/llm/output_1_design.md</t>
        </is>
      </c>
      <c r="C22" s="8" t="inlineStr">
        <is>
          <t>junit.platform.execution.listeners.deactivate lets users switch any auto-registered listener off</t>
        </is>
      </c>
      <c r="D22" s="8" t="inlineStr">
        <is>
          <t>LauncherFactory.java:206; LauncherConstants.java:133-137; Part2/changes/Change1/demo_ch01.log scenario 7</t>
        </is>
      </c>
      <c r="E22" s="8" t="inlineStr">
        <is>
          <t>correct</t>
        </is>
      </c>
      <c r="F22" s="8" t="inlineStr">
        <is>
          <t>true but only when given as a JVM system property or in junit-platform.properties; as a request (--config) parameter it has no effect because listeners are created before the request (found when the first demo attempt with --config still wrote the file)</t>
        </is>
      </c>
      <c r="G22" s="8" t="inlineStr"/>
    </row>
    <row r="23">
      <c r="A23" s="8" t="inlineStr">
        <is>
          <t>D1-22</t>
        </is>
      </c>
      <c r="B23" s="8" t="inlineStr">
        <is>
          <t>Part2/llm/output_1_design.md</t>
        </is>
      </c>
      <c r="C23" s="8" t="inlineStr">
        <is>
          <t>CH02: Holder is a plain value wrapper, not a pattern; no pattern newly introduced</t>
        </is>
      </c>
      <c r="D23" s="8" t="inlineStr">
        <is>
          <t>junit-jupiter-api/.../extension/support/ManagedResourceExtension.java (record Holder) at 99987b0; AbstractExtensionContext.java:103-123</t>
        </is>
      </c>
      <c r="E23" s="8" t="inlineStr">
        <is>
          <t>incorrect</t>
        </is>
      </c>
      <c r="F23" s="8" t="inlineStr">
        <is>
          <t>Holder converts ResourceFactory.destroy(T) into the AutoCloseable/CloseableResource close() that the store close action calls: an object Adapter. Counted as newly introduced together with the ResourceFactory Strategy (ConcreteStrategy supplied by users; absent from production code); recorded as N1 Strategy and N2 Adapter (newly_introduced) in Part2/pattern_evolution.csv</t>
        </is>
      </c>
      <c r="G23" s="8" t="inlineStr">
        <is>
          <t>Gautham Mohanraj</t>
        </is>
      </c>
    </row>
    <row r="25">
      <c r="A25" s="5" t="inlineStr">
        <is>
          <t>Source: Checks of the Part 2 design answer</t>
        </is>
      </c>
    </row>
  </sheetData>
  <autoFilter ref="A1:G2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9" customWidth="1" min="5" max="5"/>
    <col width="60" customWidth="1" min="6" max="6"/>
    <col width="18" customWidth="1" min="7" max="7"/>
  </cols>
  <sheetData>
    <row r="1">
      <c r="A1" s="7" t="inlineStr">
        <is>
          <t>claim_id</t>
        </is>
      </c>
      <c r="B1" s="7" t="inlineStr">
        <is>
          <t>llm_output_file</t>
        </is>
      </c>
      <c r="C1" s="7" t="inlineStr">
        <is>
          <t>claim</t>
        </is>
      </c>
      <c r="D1" s="7" t="inlineStr">
        <is>
          <t>file_and_lines</t>
        </is>
      </c>
      <c r="E1" s="7" t="inlineStr">
        <is>
          <t>verdict</t>
        </is>
      </c>
      <c r="F1" s="7" t="inlineStr">
        <is>
          <t>correction</t>
        </is>
      </c>
      <c r="G1" s="7" t="inlineStr">
        <is>
          <t>checked_by</t>
        </is>
      </c>
    </row>
    <row r="2">
      <c r="A2" s="8" t="inlineStr">
        <is>
          <t>P3-01</t>
        </is>
      </c>
      <c r="B2" s="8" t="inlineStr">
        <is>
          <t>Part3/llm/output_1_programs.zip (part3/README.md; RUN-LOG.txt)</t>
        </is>
      </c>
      <c r="C2" s="8" t="inlineStr">
        <is>
          <t>All 30 compile/run/test commands exit 0</t>
        </is>
      </c>
      <c r="D2" s="8" t="inlineStr">
        <is>
          <t>Part3/RUN-LOG-mac.txt</t>
        </is>
      </c>
      <c r="E2" s="8" t="inlineStr">
        <is>
          <t>correct</t>
        </is>
      </c>
      <c r="F2" s="8" t="inlineStr">
        <is>
          <t>reproduced on my Mac with Java 25 / Python 3.14 / Node 26 / Apple clang 21: 30/30 exit 0; the web run used older versions (Java 21; Python 3.13; Node 22; clang 18)</t>
        </is>
      </c>
      <c r="G2" s="8" t="inlineStr">
        <is>
          <t>Gautham Mohanraj</t>
        </is>
      </c>
    </row>
    <row r="3">
      <c r="A3" s="8" t="inlineStr">
        <is>
          <t>P3-02</t>
        </is>
      </c>
      <c r="B3" s="8" t="inlineStr">
        <is>
          <t>Part3/llm/output_1_programs.zip (part3/README.md)</t>
        </is>
      </c>
      <c r="C3" s="8" t="inlineStr">
        <is>
          <t>All eight programs print byte-for-byte the same output as expected-output.txt</t>
        </is>
      </c>
      <c r="D3" s="8" t="inlineStr">
        <is>
          <t>Part3/RUN-LOG-mac.txt (diff ... &amp;&amp; echo same); Part3/measure.py (asserts equality before timing)</t>
        </is>
      </c>
      <c r="E3" s="8" t="inlineStr">
        <is>
          <t>correct</t>
        </is>
      </c>
      <c r="F3" s="8" t="inlineStr"/>
      <c r="G3" s="8" t="inlineStr"/>
    </row>
    <row r="4">
      <c r="A4" s="8" t="inlineStr">
        <is>
          <t>P3-03</t>
        </is>
      </c>
      <c r="B4" s="8" t="inlineStr">
        <is>
          <t>Part3/llm/output_1_programs.zip (part3/README.md)</t>
        </is>
      </c>
      <c r="C4" s="8" t="inlineStr">
        <is>
          <t>Each test runner has 3 checks: expected output; bad input with expected error; one pattern-specific check</t>
        </is>
      </c>
      <c r="D4" s="8" t="inlineStr">
        <is>
          <t>Part3/llm/pattern_crosslanguage.csv (test_result 3/3 for all 8)</t>
        </is>
      </c>
      <c r="E4" s="8" t="inlineStr">
        <is>
          <t>correct</t>
        </is>
      </c>
      <c r="F4" s="8" t="inlineStr"/>
      <c r="G4" s="8" t="inlineStr"/>
    </row>
    <row r="5">
      <c r="A5" s="8" t="inlineStr">
        <is>
          <t>P3-04</t>
        </is>
      </c>
      <c r="B5" s="8" t="inlineStr">
        <is>
          <t>Part3/llm/output_1_programs.zip (part3/README.md)</t>
        </is>
      </c>
      <c r="C5" s="8" t="inlineStr">
        <is>
          <t>C++ test runners pass with -fsanitize=address;undefined and have no leaks</t>
        </is>
      </c>
      <c r="D5" s="8" t="inlineStr">
        <is>
          <t>Part3/cpp-sanitizer-mac.txt</t>
        </is>
      </c>
      <c r="E5" s="8" t="inlineStr">
        <is>
          <t>correct</t>
        </is>
      </c>
      <c r="F5" s="8" t="inlineStr">
        <is>
          <t>confirmed on Mac with Apple clang 21 ASan+UBSan; ASan leak detection is unsupported on macOS arm64 so leaks were checked with macOS leaks --atExit: 0 leaks in both</t>
        </is>
      </c>
      <c r="G5" s="8" t="inlineStr"/>
    </row>
    <row r="6">
      <c r="A6" s="8" t="inlineStr">
        <is>
          <t>P3-05</t>
        </is>
      </c>
      <c r="B6" s="8" t="inlineStr">
        <is>
          <t>Part3/llm/output_1_programs.zip (part3/README.md)</t>
        </is>
      </c>
      <c r="C6" s="8" t="inlineStr">
        <is>
          <t>C++ headers include everything they use, so the code builds with Apple libc++</t>
        </is>
      </c>
      <c r="D6" s="8" t="inlineStr">
        <is>
          <t>Part3/RUN-LOG-mac.txt (clang++ -Wall -Wextra -pedantic)</t>
        </is>
      </c>
      <c r="E6" s="8" t="inlineStr">
        <is>
          <t>correct</t>
        </is>
      </c>
      <c r="F6" s="8" t="inlineStr">
        <is>
          <t>builds with 0 warnings on Apple clang 21 / libc++</t>
        </is>
      </c>
      <c r="G6" s="8" t="inlineStr"/>
    </row>
    <row r="7">
      <c r="A7" s="8" t="inlineStr">
        <is>
          <t>P3-06</t>
        </is>
      </c>
      <c r="B7" s="8" t="inlineStr">
        <is>
          <t>Part3/llm/output_1_programs.zip (part3/README.md)</t>
        </is>
      </c>
      <c r="C7" s="8" t="inlineStr">
        <is>
          <t>16 more inputs gave identical output and exit codes in all four languages</t>
        </is>
      </c>
      <c r="D7" s="8" t="inlineStr">
        <is>
          <t>not available</t>
        </is>
      </c>
      <c r="E7" s="8" t="inlineStr">
        <is>
          <t>cannot confirm</t>
        </is>
      </c>
      <c r="F7" s="8" t="inlineStr">
        <is>
          <t>the 16 extra inputs are not in the zip; only events.txt / tree.txt and the two invalid inputs could be re-run</t>
        </is>
      </c>
      <c r="G7" s="8" t="inlineStr"/>
    </row>
    <row r="8">
      <c r="A8" s="8" t="inlineStr">
        <is>
          <t>P3-07</t>
        </is>
      </c>
      <c r="B8" s="8" t="inlineStr">
        <is>
          <t>Part3/llm/output_1_programs.zip (observer-test-listeners)</t>
        </is>
      </c>
      <c r="C8" s="8" t="inlineStr">
        <is>
          <t>Observer isolates a throwing listener like JUnit's CompositeTestExecutionListener.notifyEach</t>
        </is>
      </c>
      <c r="D8" s="8" t="inlineStr">
        <is>
          <t>data/code/junit-platform-launcher/src/main/java/org/junit/platform/launcher/core/CompositeTestExecutionListener.java:104-116</t>
        </is>
      </c>
      <c r="E8" s="8" t="inlineStr">
        <is>
          <t>correct</t>
        </is>
      </c>
      <c r="F8" s="8" t="inlineStr">
        <is>
          <t>difference stated in the READMEs: JUnit catches Throwable and rethrows unrecoverable errors; the snippets catch RuntimeException / Exception / std::exception / any thrown value</t>
        </is>
      </c>
      <c r="G8" s="8" t="inlineStr">
        <is>
          <t>Gautham Mohanraj</t>
        </is>
      </c>
    </row>
    <row r="9">
      <c r="A9" s="8" t="inlineStr">
        <is>
          <t>P3-08</t>
        </is>
      </c>
      <c r="B9" s="8" t="inlineStr">
        <is>
          <t>Part3/llm/output_1_programs.zip (composite-test-tree)</t>
        </is>
      </c>
      <c r="C9" s="8" t="inlineStr">
        <is>
          <t>Composite is modelled on the TestDescriptor tree with prune; snippets use the safe form while JUnit uses the transparent form</t>
        </is>
      </c>
      <c r="D9" s="8" t="inlineStr">
        <is>
          <t>data/code/junit-platform-engine/src/main/java/org/junit/platform/engine/TestDescriptor.java:175 (addChild on the component); 324 (prune)</t>
        </is>
      </c>
      <c r="E9" s="8" t="inlineStr">
        <is>
          <t>correct</t>
        </is>
      </c>
      <c r="F9" s="8" t="inlineStr"/>
      <c r="G9" s="8" t="inlineStr">
        <is>
          <t>Gautham Mohanraj</t>
        </is>
      </c>
    </row>
    <row r="10">
      <c r="A10" s="8" t="inlineStr">
        <is>
          <t>P3-09</t>
        </is>
      </c>
      <c r="B10" s="8" t="inlineStr">
        <is>
          <t>Part3/llm/output_1_programs.zip (READMEs)</t>
        </is>
      </c>
      <c r="C10" s="8" t="inlineStr">
        <is>
          <t>Production code is kept small and separate from tests</t>
        </is>
      </c>
      <c r="D10" s="8" t="inlineStr">
        <is>
          <t>Part3/lizard-raw.txt</t>
        </is>
      </c>
      <c r="E10" s="8" t="inlineStr">
        <is>
          <t>partially correct</t>
        </is>
      </c>
      <c r="F10" s="8" t="inlineStr">
        <is>
          <t>tests are separate and pattern classes are small; but every Composite input parser is long and complex (Java TreeParser.parse 64 NLOC CCN 22; Python parse CCN 22; JavaScript CCN 17; C++ parse CCN 24), so max_function_cc reflects parsing, not the pattern</t>
        </is>
      </c>
      <c r="G10" s="8" t="inlineStr"/>
    </row>
    <row r="11">
      <c r="A11" s="8" t="inlineStr">
        <is>
          <t>P3-10</t>
        </is>
      </c>
      <c r="B11" s="8" t="inlineStr">
        <is>
          <t>Part3/llm/output_1_programs.zip (part3/README.md)</t>
        </is>
      </c>
      <c r="C11" s="8" t="inlineStr">
        <is>
          <t>Nothing was timed on purpose</t>
        </is>
      </c>
      <c r="D11" s="8" t="inlineStr">
        <is>
          <t>Part3/timing-raw.csv</t>
        </is>
      </c>
      <c r="E11" s="8" t="inlineStr">
        <is>
          <t>correct</t>
        </is>
      </c>
      <c r="F11" s="8" t="inlineStr">
        <is>
          <t>timing done only on my Mac: 1 warm-up + 5 runs, median</t>
        </is>
      </c>
      <c r="G11" s="8" t="inlineStr"/>
    </row>
    <row r="12">
      <c r="A12" s="8" t="inlineStr">
        <is>
          <t>P3-11</t>
        </is>
      </c>
      <c r="B12" s="8" t="inlineStr">
        <is>
          <t>Part3/&lt;8 new problem folders&gt; (written by Claude Code)</t>
        </is>
      </c>
      <c r="C12" s="8" t="inlineStr">
        <is>
          <t>All 32 new programs print byte-for-byte the expected output and reject the bad input with the exact expected error</t>
        </is>
      </c>
      <c r="D12" s="8" t="inlineStr">
        <is>
          <t>Part3/RUN-LOG-mac.txt (110 commands; 40 'same')</t>
        </is>
      </c>
      <c r="E12" s="8" t="inlineStr">
        <is>
          <t>correct</t>
        </is>
      </c>
      <c r="F12" s="8" t="inlineStr">
        <is>
          <t>reproduced on my Mac with Java 25 / Python 3.14 / Node 26 / Apple clang 21</t>
        </is>
      </c>
      <c r="G12" s="8" t="inlineStr"/>
    </row>
    <row r="13">
      <c r="A13" s="8" t="inlineStr">
        <is>
          <t>P3-12</t>
        </is>
      </c>
      <c r="B13" s="8" t="inlineStr">
        <is>
          <t>Part3/&lt;8 new problem folders&gt;</t>
        </is>
      </c>
      <c r="C13" s="8" t="inlineStr">
        <is>
          <t>Every new test runner passes 3/3 (output, bad input, one pattern-specific property)</t>
        </is>
      </c>
      <c r="D13" s="8" t="inlineStr">
        <is>
          <t>Part3/evidence/test_results/*.txt</t>
        </is>
      </c>
      <c r="E13" s="8" t="inlineStr">
        <is>
          <t>correct</t>
        </is>
      </c>
      <c r="F13" s="8" t="inlineStr">
        <is>
          <t>24 runners x 3 checks for the new problems; 40 runners in total</t>
        </is>
      </c>
      <c r="G13" s="8" t="inlineStr"/>
    </row>
    <row r="14">
      <c r="A14" s="8" t="inlineStr">
        <is>
          <t>P3-13</t>
        </is>
      </c>
      <c r="B14" s="8" t="inlineStr">
        <is>
          <t>Part3/&lt;8 new problem folders&gt;</t>
        </is>
      </c>
      <c r="C14" s="8" t="inlineStr">
        <is>
          <t>New code compiles without warnings</t>
        </is>
      </c>
      <c r="D14" s="8" t="inlineStr">
        <is>
          <t>Part3/RUN-LOG-mac.txt (clang++ -Wall -Wextra -pedantic: 0 warnings); javac -Xlint:all -Werror run during development</t>
        </is>
      </c>
      <c r="E14" s="8" t="inlineStr">
        <is>
          <t>correct</t>
        </is>
      </c>
      <c r="F14" s="8" t="inlineStr">
        <is>
          <t>first Java draft had several types per file and no serialVersionUID (lint warnings); split into one type per file and fixed before measuring</t>
        </is>
      </c>
      <c r="G14" s="8" t="inlineStr"/>
    </row>
    <row r="15">
      <c r="A15" s="8" t="inlineStr">
        <is>
          <t>P3-14</t>
        </is>
      </c>
      <c r="B15" s="8" t="inlineStr">
        <is>
          <t>Part3/&lt;8 new problem folders&gt;/cpp</t>
        </is>
      </c>
      <c r="C15" s="8" t="inlineStr">
        <is>
          <t>New C++ programs are memory-safe</t>
        </is>
      </c>
      <c r="D15" s="8" t="inlineStr">
        <is>
          <t>Part3/cpp-sanitizer-mac.txt (section 3)</t>
        </is>
      </c>
      <c r="E15" s="8" t="inlineStr">
        <is>
          <t>correct</t>
        </is>
      </c>
      <c r="F15" s="8" t="inlineStr">
        <is>
          <t>ASan+UBSan clean and macOS leaks: 0 leaks for all 8</t>
        </is>
      </c>
      <c r="G15" s="8" t="inlineStr"/>
    </row>
    <row r="16">
      <c r="A16" s="8" t="inlineStr">
        <is>
          <t>P3-15</t>
        </is>
      </c>
      <c r="B16" s="8" t="inlineStr">
        <is>
          <t>Part3/&lt;new problem&gt;/&lt;lang&gt;/README.md</t>
        </is>
      </c>
      <c r="C16" s="8" t="inlineStr">
        <is>
          <t>JUnit facts in the new READMEs: EngineExecutionListener.NOOP is an interface constant; HierarchicalTestEngine.execute is final; JupiterTestEngine overrides createExecutorService; interceptors continue through Invocation.proceed(); ExecutionListenerAdapter implements EngineExecutionListener and holds a TestExecutionListener; SameThreadTimeoutInvocation wraps a delegate Invocation</t>
        </is>
      </c>
      <c r="D16" s="8" t="inlineStr">
        <is>
          <t>data/code: EngineExecutionListener.java:39; HierarchicalTestEngine.java:53; JupiterTestEngine.java:80; InvocationInterceptorChain.java:64-66; ExecutionListenerAdapter.java:28-31; SameThreadTimeoutInvocation.java:26-28</t>
        </is>
      </c>
      <c r="E16" s="8" t="inlineStr">
        <is>
          <t>correct</t>
        </is>
      </c>
      <c r="F16" s="8" t="inlineStr">
        <is>
          <t>the Java Chain README first said JUnit passes a proceed callback; reworded to Invocation.proceed()</t>
        </is>
      </c>
      <c r="G16" s="8" t="inlineStr">
        <is>
          <t>Gautham Mohanraj</t>
        </is>
      </c>
    </row>
    <row r="17">
      <c r="A17" s="8" t="inlineStr">
        <is>
          <t>P3-16</t>
        </is>
      </c>
      <c r="B17" s="8" t="inlineStr">
        <is>
          <t>Part3/adapter-listener-bridge/javascript/src/adapter.js (written by Claude Code)</t>
        </is>
      </c>
      <c r="C17" s="8" t="inlineStr">
        <is>
          <t>lizard measures every production function (needed for max_function_cc)</t>
        </is>
      </c>
      <c r="D17" s="8" t="inlineStr">
        <is>
          <t>Part3/lizard-raw.txt; lizard src/adapter.js function list before/after</t>
        </is>
      </c>
      <c r="E17" s="8" t="inlineStr">
        <is>
          <t>partially correct</t>
        </is>
      </c>
      <c r="F17" s="8" t="inlineStr">
        <is>
          <t>lizard 1.24.1 stopped parsing adapter.js inside describe(), at a template literal nested in another one, so max CC was reported as 3; the line was rewritten without nesting (same output, tests 3/3) and lizard then saw every function: max CC 9, matching a manual count. Line counts of all 85 production files agree with an independent count within 10%.</t>
        </is>
      </c>
      <c r="G17" s="8" t="inlineStr">
        <is>
          <t>Gautham Mohanraj</t>
        </is>
      </c>
    </row>
    <row r="19">
      <c r="A19" s="5" t="inlineStr">
        <is>
          <t>Source: Checks of the Part 3 LLM claims</t>
        </is>
      </c>
    </row>
  </sheetData>
  <autoFilter ref="A1:G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20" customWidth="1" min="3" max="3"/>
    <col width="10" customWidth="1" min="4" max="4"/>
    <col width="10" customWidth="1" min="5" max="5"/>
    <col width="10" customWidth="1" min="6" max="6"/>
    <col width="10" customWidth="1" min="7" max="7"/>
    <col width="10" customWidth="1" min="8" max="8"/>
  </cols>
  <sheetData>
    <row r="1">
      <c r="A1" s="7" t="inlineStr">
        <is>
          <t>commit</t>
        </is>
      </c>
      <c r="B1" s="7" t="inlineStr">
        <is>
          <t>snapshot</t>
        </is>
      </c>
      <c r="C1" s="7" t="inlineStr">
        <is>
          <t>suite</t>
        </is>
      </c>
      <c r="D1" s="7" t="inlineStr">
        <is>
          <t>classes</t>
        </is>
      </c>
      <c r="E1" s="7" t="inlineStr">
        <is>
          <t>tests</t>
        </is>
      </c>
      <c r="F1" s="7" t="inlineStr">
        <is>
          <t>skipped</t>
        </is>
      </c>
      <c r="G1" s="7" t="inlineStr">
        <is>
          <t>failures</t>
        </is>
      </c>
      <c r="H1" s="7" t="inlineStr">
        <is>
          <t>errors</t>
        </is>
      </c>
    </row>
    <row r="2">
      <c r="A2" s="8" t="inlineStr">
        <is>
          <t>f59f60d</t>
        </is>
      </c>
      <c r="B2" s="8" t="inlineStr">
        <is>
          <t>baseline</t>
        </is>
      </c>
      <c r="C2" s="8" t="inlineStr">
        <is>
          <t>launcher tests</t>
        </is>
      </c>
      <c r="D2" s="8" t="n">
        <v>46</v>
      </c>
      <c r="E2" s="8" t="n">
        <v>382</v>
      </c>
      <c r="F2" s="8" t="n">
        <v>0</v>
      </c>
      <c r="G2" s="8" t="n">
        <v>0</v>
      </c>
      <c r="H2" s="8" t="n">
        <v>0</v>
      </c>
    </row>
    <row r="3">
      <c r="A3" s="8" t="inlineStr">
        <is>
          <t>68a60e4</t>
        </is>
      </c>
      <c r="B3" s="8" t="inlineStr">
        <is>
          <t>CH03a refactoring</t>
        </is>
      </c>
      <c r="C3" s="8" t="inlineStr">
        <is>
          <t>launcher tests</t>
        </is>
      </c>
      <c r="D3" s="8" t="n">
        <v>46</v>
      </c>
      <c r="E3" s="8" t="n">
        <v>382</v>
      </c>
      <c r="F3" s="8" t="n">
        <v>0</v>
      </c>
      <c r="G3" s="8" t="n">
        <v>0</v>
      </c>
      <c r="H3" s="8" t="n">
        <v>0</v>
      </c>
    </row>
    <row r="4">
      <c r="A4" s="8" t="inlineStr">
        <is>
          <t>6f98fbf</t>
        </is>
      </c>
      <c r="B4" s="8" t="inlineStr">
        <is>
          <t>CH03b feature</t>
        </is>
      </c>
      <c r="C4" s="8" t="inlineStr">
        <is>
          <t>launcher tests</t>
        </is>
      </c>
      <c r="D4" s="8" t="n">
        <v>47</v>
      </c>
      <c r="E4" s="8" t="n">
        <v>391</v>
      </c>
      <c r="F4" s="8" t="n">
        <v>0</v>
      </c>
      <c r="G4" s="8" t="n">
        <v>0</v>
      </c>
      <c r="H4" s="8" t="n">
        <v>0</v>
      </c>
    </row>
    <row r="5">
      <c r="A5" s="8" t="inlineStr">
        <is>
          <t>f59f60d</t>
        </is>
      </c>
      <c r="B5" s="8" t="inlineStr">
        <is>
          <t>baseline all platform-tests</t>
        </is>
      </c>
      <c r="C5" s="8" t="inlineStr">
        <is>
          <t>all platform-tests</t>
        </is>
      </c>
      <c r="D5" s="8" t="n">
        <v>212</v>
      </c>
      <c r="E5" s="8" t="n">
        <v>2452</v>
      </c>
      <c r="F5" s="8" t="n">
        <v>6</v>
      </c>
      <c r="G5" s="8" t="n">
        <v>0</v>
      </c>
      <c r="H5" s="8" t="n">
        <v>0</v>
      </c>
    </row>
    <row r="6">
      <c r="A6" s="8" t="inlineStr">
        <is>
          <t>6f98fbf</t>
        </is>
      </c>
      <c r="B6" s="8" t="inlineStr">
        <is>
          <t>CH03b all platform-tests</t>
        </is>
      </c>
      <c r="C6" s="8" t="inlineStr">
        <is>
          <t>all platform-tests</t>
        </is>
      </c>
      <c r="D6" s="8" t="n">
        <v>213</v>
      </c>
      <c r="E6" s="8" t="n">
        <v>2461</v>
      </c>
      <c r="F6" s="8" t="n">
        <v>6</v>
      </c>
      <c r="G6" s="8" t="n">
        <v>0</v>
      </c>
      <c r="H6" s="8" t="n">
        <v>0</v>
      </c>
    </row>
    <row r="7">
      <c r="A7" s="8" t="inlineStr">
        <is>
          <t>67d159b</t>
        </is>
      </c>
      <c r="B7" s="8" t="inlineStr">
        <is>
          <t>CH01a refactoring</t>
        </is>
      </c>
      <c r="C7" s="8" t="inlineStr">
        <is>
          <t>launcher tests</t>
        </is>
      </c>
      <c r="D7" s="8" t="n">
        <v>47</v>
      </c>
      <c r="E7" s="8" t="n">
        <v>392</v>
      </c>
      <c r="F7" s="8" t="n">
        <v>0</v>
      </c>
      <c r="G7" s="8" t="n">
        <v>0</v>
      </c>
      <c r="H7" s="8" t="n">
        <v>0</v>
      </c>
    </row>
    <row r="8">
      <c r="A8" s="8" t="inlineStr">
        <is>
          <t>e55fefe</t>
        </is>
      </c>
      <c r="B8" s="8" t="inlineStr">
        <is>
          <t>CH01b feature</t>
        </is>
      </c>
      <c r="C8" s="8" t="inlineStr">
        <is>
          <t>launcher tests</t>
        </is>
      </c>
      <c r="D8" s="8" t="n">
        <v>48</v>
      </c>
      <c r="E8" s="8" t="n">
        <v>397</v>
      </c>
      <c r="F8" s="8" t="n">
        <v>0</v>
      </c>
      <c r="G8" s="8" t="n">
        <v>0</v>
      </c>
      <c r="H8" s="8" t="n">
        <v>0</v>
      </c>
    </row>
    <row r="9">
      <c r="A9" s="8" t="inlineStr">
        <is>
          <t>e55fefe</t>
        </is>
      </c>
      <c r="B9" s="8" t="inlineStr">
        <is>
          <t>CH01b all platform-tests</t>
        </is>
      </c>
      <c r="C9" s="8" t="inlineStr">
        <is>
          <t>all platform-tests</t>
        </is>
      </c>
      <c r="D9" s="8" t="n">
        <v>214</v>
      </c>
      <c r="E9" s="8" t="n">
        <v>2467</v>
      </c>
      <c r="F9" s="8" t="n">
        <v>6</v>
      </c>
      <c r="G9" s="8" t="n">
        <v>0</v>
      </c>
      <c r="H9" s="8" t="n">
        <v>0</v>
      </c>
    </row>
    <row r="10">
      <c r="A10" s="8" t="inlineStr">
        <is>
          <t>e55fefe</t>
        </is>
      </c>
      <c r="B10" s="8" t="inlineStr">
        <is>
          <t>before CH02 all jupiter-tests</t>
        </is>
      </c>
      <c r="C10" s="8" t="inlineStr">
        <is>
          <t>all jupiter-tests</t>
        </is>
      </c>
      <c r="D10" s="8" t="n">
        <v>344</v>
      </c>
      <c r="E10" s="8" t="n">
        <v>3381</v>
      </c>
      <c r="F10" s="8" t="n">
        <v>165</v>
      </c>
      <c r="G10" s="8" t="n">
        <v>0</v>
      </c>
      <c r="H10" s="8" t="n">
        <v>0</v>
      </c>
    </row>
    <row r="11">
      <c r="A11" s="8" t="inlineStr">
        <is>
          <t>99987b0</t>
        </is>
      </c>
      <c r="B11" s="8" t="inlineStr">
        <is>
          <t>CH02 all jupiter-tests</t>
        </is>
      </c>
      <c r="C11" s="8" t="inlineStr">
        <is>
          <t>all jupiter-tests</t>
        </is>
      </c>
      <c r="D11" s="8" t="n">
        <v>345</v>
      </c>
      <c r="E11" s="8" t="n">
        <v>3388</v>
      </c>
      <c r="F11" s="8" t="n">
        <v>165</v>
      </c>
      <c r="G11" s="8" t="n">
        <v>0</v>
      </c>
      <c r="H11" s="8" t="n">
        <v>0</v>
      </c>
    </row>
    <row r="13">
      <c r="A13" s="5" t="inlineStr">
        <is>
          <t>Source: Part2/changes/launcher_tests_by_snapshot.txt (fresh Gradle runs, counted by Part2/evidence/count_tests.py)</t>
        </is>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2026-10-11T05:34:46Z</dcterms:created>
  <dcterms:modified xsi:type="dcterms:W3CDTF">2026-10-11T05:34:46Z</dcterms:modified>
</cp:coreProperties>
</file>